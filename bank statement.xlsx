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patial Haven3\Downloads\"/>
    </mc:Choice>
  </mc:AlternateContent>
  <xr:revisionPtr revIDLastSave="0" documentId="13_ncr:1_{66D64898-59DF-4561-A18B-F6BC07F4D9DB}" xr6:coauthVersionLast="47" xr6:coauthVersionMax="47" xr10:uidLastSave="{00000000-0000-0000-0000-000000000000}"/>
  <bookViews>
    <workbookView xWindow="-110" yWindow="-110" windowWidth="19420" windowHeight="10300" xr2:uid="{8E458D26-711C-45D1-9A33-F826FFB6327F}"/>
  </bookViews>
  <sheets>
    <sheet name="Bank Statement" sheetId="1" r:id="rId1"/>
  </sheets>
  <definedNames>
    <definedName name="_xlnm._FilterDatabase" localSheetId="0" hidden="1">'Bank Statement'!$A$4:$J$611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13" i="1" l="1"/>
  <c r="E613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G6" i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3" i="1" s="1"/>
  <c r="G614" i="1" l="1"/>
</calcChain>
</file>

<file path=xl/sharedStrings.xml><?xml version="1.0" encoding="utf-8"?>
<sst xmlns="http://schemas.openxmlformats.org/spreadsheetml/2006/main" count="1834" uniqueCount="922">
  <si>
    <t>Account Name: Adebayo Fresh Foods &amp; Distribution Ltd   |   A/C No: 0098765432   |   Currency: NGN   |   Period: 01-Jan-2025 to 31-Dec-2025</t>
  </si>
  <si>
    <t>Trans Date</t>
  </si>
  <si>
    <t>Value Date</t>
  </si>
  <si>
    <t>Reference</t>
  </si>
  <si>
    <t>Narration</t>
  </si>
  <si>
    <t>Debit (NGN)</t>
  </si>
  <si>
    <t>Credit (NGN)</t>
  </si>
  <si>
    <t>Balance (NGN)</t>
  </si>
  <si>
    <t>Category (answer key)</t>
  </si>
  <si>
    <t>Month</t>
  </si>
  <si>
    <t>OPEN-BAL</t>
  </si>
  <si>
    <t>OPENING BALANCE B/F</t>
  </si>
  <si>
    <t>Opening balance</t>
  </si>
  <si>
    <t>TRX0700001</t>
  </si>
  <si>
    <t>NIP CR/Zenith Foods Ltd/INV-1010</t>
  </si>
  <si>
    <t>Customer receipts</t>
  </si>
  <si>
    <t>TRX0700002</t>
  </si>
  <si>
    <t>ELECTRONIC TRANSFER LEVY / STAMP DUTY</t>
  </si>
  <si>
    <t>Bank charges (stamp duty)</t>
  </si>
  <si>
    <t>TRX0700003</t>
  </si>
  <si>
    <t>MTN BUSINESS/FIBRE INTERNET &amp; AIRTIME</t>
  </si>
  <si>
    <t>Telecom &amp; internet</t>
  </si>
  <si>
    <t>TRX0700004</t>
  </si>
  <si>
    <t>TRF FROM Brightway Supermarkets/PART PMT INV-1003</t>
  </si>
  <si>
    <t>TRX0700005</t>
  </si>
  <si>
    <t>TRX0700006</t>
  </si>
  <si>
    <t>POS SETTLEMENT WK1 Jan-25</t>
  </si>
  <si>
    <t>POS settlements</t>
  </si>
  <si>
    <t>TRX0700007</t>
  </si>
  <si>
    <t>TRX0700008</t>
  </si>
  <si>
    <t>EKEDC PREPAID/ELECTRICITY</t>
  </si>
  <si>
    <t>Electricity &amp; diesel</t>
  </si>
  <si>
    <t>TRX0700009</t>
  </si>
  <si>
    <t>NIP DR/Ikoyi Property Mgt/HALF-YEAR RENT JAN-JUN 2025</t>
  </si>
  <si>
    <t>Rent (prepaid)</t>
  </si>
  <si>
    <t>TRX0700010</t>
  </si>
  <si>
    <t>NIP DR/Ibeju Farms Cooperative/PO-2682</t>
  </si>
  <si>
    <t>Inventory / supplier payments</t>
  </si>
  <si>
    <t>TRX0700011</t>
  </si>
  <si>
    <t>NIP CR/Harbour Point Hotels/INV-1022 (NET OF 5% WHT)</t>
  </si>
  <si>
    <t>Customer receipts (net of WHT)</t>
  </si>
  <si>
    <t>TRX0700012</t>
  </si>
  <si>
    <t>TRX0700013</t>
  </si>
  <si>
    <t>NIP DR/Ibeju Farms Cooperative/PO-2352</t>
  </si>
  <si>
    <t>TRX0700014</t>
  </si>
  <si>
    <t>LIRS PAYE REMITTANCE (PRIOR MONTH)</t>
  </si>
  <si>
    <t>PAYE remittance</t>
  </si>
  <si>
    <t>TRX0700015</t>
  </si>
  <si>
    <t>PENSION REMITTANCE - PFA (PRIOR MONTH)</t>
  </si>
  <si>
    <t>Pension remittance</t>
  </si>
  <si>
    <t>TRX0700016</t>
  </si>
  <si>
    <t>NIP CR/Naija Fresh Mart/INV-1019</t>
  </si>
  <si>
    <t>TRX0700017</t>
  </si>
  <si>
    <t>TRX0700018</t>
  </si>
  <si>
    <t>NIP CR/Kolade &amp; Sons Ent./INV-1029</t>
  </si>
  <si>
    <t>TRX0700019</t>
  </si>
  <si>
    <t>TRX0700020</t>
  </si>
  <si>
    <t>POS SETTLEMENT WK2 Jan-25</t>
  </si>
  <si>
    <t>TRX0700021</t>
  </si>
  <si>
    <t>TRX0700022</t>
  </si>
  <si>
    <t>NIP DR/Sunrise Packaging Ltd/PO-2339</t>
  </si>
  <si>
    <t>TRX0700023</t>
  </si>
  <si>
    <t>NIP DR/Swift Haulage &amp; Logistics/FREIGHT</t>
  </si>
  <si>
    <t>Freight &amp; logistics</t>
  </si>
  <si>
    <t>TRX0700024</t>
  </si>
  <si>
    <t>NIP DR/Petrogas Depot/DIESEL</t>
  </si>
  <si>
    <t>TRX0700025</t>
  </si>
  <si>
    <t>TRF FROM Brightway Supermarkets/BAL PMT INV-1003</t>
  </si>
  <si>
    <t>TRX0700026</t>
  </si>
  <si>
    <t>TRX0700027</t>
  </si>
  <si>
    <t>FIRS WHT REMITTANCE (PRIOR MONTH)</t>
  </si>
  <si>
    <t>WHT remittance</t>
  </si>
  <si>
    <t>TRX0700028</t>
  </si>
  <si>
    <t>AXA MANSARD - ANNUAL COMBINED POLICY PREMIUM (JAN-DEC 25)</t>
  </si>
  <si>
    <t>Insurance (prepaid)</t>
  </si>
  <si>
    <t>TRX0700029</t>
  </si>
  <si>
    <t>ADS/DIGITAL MARKETING - META/GOOGLE</t>
  </si>
  <si>
    <t>Marketing</t>
  </si>
  <si>
    <t>TRX0700030</t>
  </si>
  <si>
    <t>NIP CR/Okafor Distribution Co/INV-1035</t>
  </si>
  <si>
    <t>TRX0700031</t>
  </si>
  <si>
    <t>TRX0700032</t>
  </si>
  <si>
    <t>POS SETTLEMENT WK3 Jan-25</t>
  </si>
  <si>
    <t>TRX0700033</t>
  </si>
  <si>
    <t>TRX0700034</t>
  </si>
  <si>
    <t>FIRS VAT REMITTANCE (PRIOR MONTH)</t>
  </si>
  <si>
    <t>VAT remittance</t>
  </si>
  <si>
    <t>TRX0700035</t>
  </si>
  <si>
    <t>NIP DR/Ibeju Farms Cooperative/PO-2917</t>
  </si>
  <si>
    <t>TRX0700036</t>
  </si>
  <si>
    <t>NIP CR/Harbour Point Hotels/INV-1013</t>
  </si>
  <si>
    <t>TRX0700037</t>
  </si>
  <si>
    <t>TRX0700038</t>
  </si>
  <si>
    <t>TRX0700039</t>
  </si>
  <si>
    <t>TRF FROM Lekki Gardens Estate Mgt/PART PMT INV-1042</t>
  </si>
  <si>
    <t>TRX0700040</t>
  </si>
  <si>
    <t>TRX0700041</t>
  </si>
  <si>
    <t>POS SETTLEMENT WK4 Jan-25</t>
  </si>
  <si>
    <t>TRX0700042</t>
  </si>
  <si>
    <t>TRX0700043</t>
  </si>
  <si>
    <t>NIP DR/Clean Spot Facility Mgt/MAINTENANCE</t>
  </si>
  <si>
    <t>Repairs &amp; maintenance</t>
  </si>
  <si>
    <t>TRX0700044</t>
  </si>
  <si>
    <t>TRF FROM Lekki Gardens Estate Mgt/BAL PMT INV-1042</t>
  </si>
  <si>
    <t>TRX0700045</t>
  </si>
  <si>
    <t>TRX0700046</t>
  </si>
  <si>
    <t>SALARY PAYMENT - STAFF</t>
  </si>
  <si>
    <t>Salaries &amp; wages</t>
  </si>
  <si>
    <t>TRX0700047</t>
  </si>
  <si>
    <t>TRF FROM DIRECTOR MR ADEBAYO - SHORT TERM ADVANCE</t>
  </si>
  <si>
    <t>Director's loan received</t>
  </si>
  <si>
    <t>TRX0700048</t>
  </si>
  <si>
    <t>TRX0700049</t>
  </si>
  <si>
    <t>ACCOUNT MAINTENANCE / COT</t>
  </si>
  <si>
    <t>Bank charges (COT)</t>
  </si>
  <si>
    <t>TRX0700050</t>
  </si>
  <si>
    <t>NIP TRANSFER FEES (MONTH)</t>
  </si>
  <si>
    <t>Bank charges (transfer fees)</t>
  </si>
  <si>
    <t>TRX0700051</t>
  </si>
  <si>
    <t>SMS ALERT CHARGES</t>
  </si>
  <si>
    <t>Bank charges (other)</t>
  </si>
  <si>
    <t>TRX0700052</t>
  </si>
  <si>
    <t>VAT ON BANK CHARGES</t>
  </si>
  <si>
    <t>Bank charges (VAT)</t>
  </si>
  <si>
    <t>TRX0700053</t>
  </si>
  <si>
    <t>TRX0700054</t>
  </si>
  <si>
    <t>TRX0700055</t>
  </si>
  <si>
    <t>POS SETTLEMENT WK1 Feb-25</t>
  </si>
  <si>
    <t>TRX0700056</t>
  </si>
  <si>
    <t>TRX0700057</t>
  </si>
  <si>
    <t>TRX0700058</t>
  </si>
  <si>
    <t>TRX0700059</t>
  </si>
  <si>
    <t>CAPITAL INJECTION - SHAREHOLDER (ADEBAYO FAMILY TRUST) - ADDL SHARES</t>
  </si>
  <si>
    <t>Share capital injection</t>
  </si>
  <si>
    <t>TRX0700060</t>
  </si>
  <si>
    <t>TRX0700061</t>
  </si>
  <si>
    <t>TRX0700062</t>
  </si>
  <si>
    <t>POS SETTLEMENT WK2 Feb-25</t>
  </si>
  <si>
    <t>TRX0700063</t>
  </si>
  <si>
    <t>TRX0700064</t>
  </si>
  <si>
    <t>TRX0700065</t>
  </si>
  <si>
    <t>NIP DR/Brandstar Media/MARKETING</t>
  </si>
  <si>
    <t>TRX0700066</t>
  </si>
  <si>
    <t>TRX0700067</t>
  </si>
  <si>
    <t>FX TRANSFER USD 4,800 @ 1530 - IMPORT: SHENZHEN PACK TRADING CO</t>
  </si>
  <si>
    <t>TRX0700068</t>
  </si>
  <si>
    <t>FX TRANSFER CHARGES / SWIFT FEE + VAT</t>
  </si>
  <si>
    <t>Bank charges (FX/SWIFT)</t>
  </si>
  <si>
    <t>TRX0700069</t>
  </si>
  <si>
    <t>NIP CR/Zenith Foods Ltd/INV-1045 (NET OF 5% WHT)</t>
  </si>
  <si>
    <t>TRX0700070</t>
  </si>
  <si>
    <t>TRX0700071</t>
  </si>
  <si>
    <t>POS SETTLEMENT WK3 Feb-25</t>
  </si>
  <si>
    <t>TRX0700072</t>
  </si>
  <si>
    <t>TRX0700073</t>
  </si>
  <si>
    <t>TRF TO OWN A/C SAVINGS 0123456789</t>
  </si>
  <si>
    <t>Transfer to own savings a/c</t>
  </si>
  <si>
    <t>TRX0700074</t>
  </si>
  <si>
    <t>TRX0700075</t>
  </si>
  <si>
    <t>NIP CR/Kolade &amp; Sons Ent./INV-1049</t>
  </si>
  <si>
    <t>TRX0700076</t>
  </si>
  <si>
    <t>TRX0700077</t>
  </si>
  <si>
    <t>NIP CR/Kolade &amp; Sons Ent./INV-1057</t>
  </si>
  <si>
    <t>TRX0700078</t>
  </si>
  <si>
    <t>TRX0700079</t>
  </si>
  <si>
    <t>NIP CR/Kolade &amp; Sons Ent./INV-1068</t>
  </si>
  <si>
    <t>TRX0700080</t>
  </si>
  <si>
    <t>TRX0700081</t>
  </si>
  <si>
    <t>NIP DR/Ibeju Farms Cooperative/PO-2427</t>
  </si>
  <si>
    <t>TRX0700082</t>
  </si>
  <si>
    <t>NIP DR/Sunrise Packaging Ltd/PO-2159</t>
  </si>
  <si>
    <t>TRX0700083</t>
  </si>
  <si>
    <t>TRX0700084</t>
  </si>
  <si>
    <t>NIP DR/Coastal Motors Ltd/TOYOTA HIACE BUS INV-8841</t>
  </si>
  <si>
    <t>Fixed asset purchase</t>
  </si>
  <si>
    <t>TRX0700085</t>
  </si>
  <si>
    <t>TRF FROM Harbour Point Hotels/PART PMT INV-1064</t>
  </si>
  <si>
    <t>TRX0700086</t>
  </si>
  <si>
    <t>TRX0700087</t>
  </si>
  <si>
    <t>NIP CR/Harbour Point Hotels/INV-1071</t>
  </si>
  <si>
    <t>TRX0700088</t>
  </si>
  <si>
    <t>TRX0700089</t>
  </si>
  <si>
    <t>NIP DR/Delta Cold Chain Services/PO-2519</t>
  </si>
  <si>
    <t>TRX0700090</t>
  </si>
  <si>
    <t>TRX0700091</t>
  </si>
  <si>
    <t>POS SETTLEMENT WK4 Feb-25</t>
  </si>
  <si>
    <t>TRX0700092</t>
  </si>
  <si>
    <t>TRX0700093</t>
  </si>
  <si>
    <t>TRF FROM Harbour Point Hotels/BAL PMT INV-1064</t>
  </si>
  <si>
    <t>TRX0700094</t>
  </si>
  <si>
    <t>TRX0700095</t>
  </si>
  <si>
    <t>TRX0700096</t>
  </si>
  <si>
    <t>TRX0700097</t>
  </si>
  <si>
    <t>TRX0700098</t>
  </si>
  <si>
    <t>TRX0700099</t>
  </si>
  <si>
    <t>TRX0700100</t>
  </si>
  <si>
    <t>NIP DR/Apex Commodities Ltd/PO-2737</t>
  </si>
  <si>
    <t>TRX0700101</t>
  </si>
  <si>
    <t>TRX0700102</t>
  </si>
  <si>
    <t>LOAN DISBURSEMENT - TERM LOAN FACILITY TL/2025/0147</t>
  </si>
  <si>
    <t>Loan proceeds</t>
  </si>
  <si>
    <t>TRX0700103</t>
  </si>
  <si>
    <t>TRX0700104</t>
  </si>
  <si>
    <t>LOAN MANAGEMENT FEE 1% + VAT</t>
  </si>
  <si>
    <t>Loan arrangement fee</t>
  </si>
  <si>
    <t>TRX0700105</t>
  </si>
  <si>
    <t>TRX0700106</t>
  </si>
  <si>
    <t>NIP CR/Lekki Gardens Estate Mgt/INV-1098</t>
  </si>
  <si>
    <t>TRX0700107</t>
  </si>
  <si>
    <t>TRX0700108</t>
  </si>
  <si>
    <t>POS SETTLEMENT WK1 Mar-25</t>
  </si>
  <si>
    <t>TRX0700109</t>
  </si>
  <si>
    <t>TRX0700110</t>
  </si>
  <si>
    <t>NIP CR/Okafor Distribution Co/INV-1078</t>
  </si>
  <si>
    <t>TRX0700111</t>
  </si>
  <si>
    <t>TRX0700112</t>
  </si>
  <si>
    <t>TRX0700113</t>
  </si>
  <si>
    <t>TRX0700114</t>
  </si>
  <si>
    <t>NIP DR/Delta Cold Chain Services/PO-2672</t>
  </si>
  <si>
    <t>TRX0700115</t>
  </si>
  <si>
    <t>TRX0700116</t>
  </si>
  <si>
    <t>TRF FROM Greenfield Pharmacy Chain/PART PMT INV-1120</t>
  </si>
  <si>
    <t>TRX0700117</t>
  </si>
  <si>
    <t>TRX0700118</t>
  </si>
  <si>
    <t>POS SETTLEMENT WK2 Mar-25</t>
  </si>
  <si>
    <t>TRX0700119</t>
  </si>
  <si>
    <t>TRX0700120</t>
  </si>
  <si>
    <t>TRF TO DIRECTOR MR ADEBAYO - PART REPAYMENT OF ADVANCE</t>
  </si>
  <si>
    <t>Director's loan repaid</t>
  </si>
  <si>
    <t>TRX0700121</t>
  </si>
  <si>
    <t>NIP CR/Harbour Point Hotels/INV-1091</t>
  </si>
  <si>
    <t>TRX0700122</t>
  </si>
  <si>
    <t>TRX0700123</t>
  </si>
  <si>
    <t>NIP CR/Naija Fresh Mart/INV-1103</t>
  </si>
  <si>
    <t>TRX0700124</t>
  </si>
  <si>
    <t>TRX0700125</t>
  </si>
  <si>
    <t>TRX0700126</t>
  </si>
  <si>
    <t>TRX0700127</t>
  </si>
  <si>
    <t>NIP CR/Naija Fresh Mart/INV-1112</t>
  </si>
  <si>
    <t>TRX0700128</t>
  </si>
  <si>
    <t>TRX0700129</t>
  </si>
  <si>
    <t>TRX0700130</t>
  </si>
  <si>
    <t>POS SETTLEMENT WK3 Mar-25</t>
  </si>
  <si>
    <t>TRX0700131</t>
  </si>
  <si>
    <t>TRX0700132</t>
  </si>
  <si>
    <t>NIP DR/Adeyemi &amp; Co Chartered Accts/PROF FEES</t>
  </si>
  <si>
    <t>Professional fees</t>
  </si>
  <si>
    <t>TRX0700133</t>
  </si>
  <si>
    <t>TRX0700134</t>
  </si>
  <si>
    <t>TRF FROM Greenfield Pharmacy Chain/BAL PMT INV-1120</t>
  </si>
  <si>
    <t>TRX0700135</t>
  </si>
  <si>
    <t>TRX0700136</t>
  </si>
  <si>
    <t>NIP DR/Delta Cold Chain Services/PO-2261</t>
  </si>
  <si>
    <t>TRX0700137</t>
  </si>
  <si>
    <t>TRX0700138</t>
  </si>
  <si>
    <t>NIP CR/Naija Fresh Mart/INV-1086</t>
  </si>
  <si>
    <t>TRX0700139</t>
  </si>
  <si>
    <t>TRX0700140</t>
  </si>
  <si>
    <t>TRX0700141</t>
  </si>
  <si>
    <t>NIP CR/Okafor Distribution Co/INV-1106</t>
  </si>
  <si>
    <t>TRX0700142</t>
  </si>
  <si>
    <t>TRX0700143</t>
  </si>
  <si>
    <t>POS SETTLEMENT WK4 Mar-25</t>
  </si>
  <si>
    <t>TRX0700144</t>
  </si>
  <si>
    <t>TRX0700145</t>
  </si>
  <si>
    <t>TRX0700146</t>
  </si>
  <si>
    <t>INTEREST ON CREDIT BALANCE</t>
  </si>
  <si>
    <t>Interest income</t>
  </si>
  <si>
    <t>TRX0700147</t>
  </si>
  <si>
    <t>TRX0700148</t>
  </si>
  <si>
    <t>TRX0700149</t>
  </si>
  <si>
    <t>TRX0700150</t>
  </si>
  <si>
    <t>TRX0700151</t>
  </si>
  <si>
    <t>TRX0700152</t>
  </si>
  <si>
    <t>NIP CR/Harbour Point Hotels/INV-1136</t>
  </si>
  <si>
    <t>TRX0700153</t>
  </si>
  <si>
    <t>TRX0700154</t>
  </si>
  <si>
    <t>NIP CR/Naija Fresh Mart/INV-1139 (NET OF 5% WHT)</t>
  </si>
  <si>
    <t>TRX0700155</t>
  </si>
  <si>
    <t>TRX0700156</t>
  </si>
  <si>
    <t>TRX0700157</t>
  </si>
  <si>
    <t>LOAN REPAYMENT TL/2025/0147 INSTALMENT 1/12</t>
  </si>
  <si>
    <t>Loan repayment (principal + interest)</t>
  </si>
  <si>
    <t>TRX0700158</t>
  </si>
  <si>
    <t>TRF FROM Zenith Foods Ltd/PART PMT INV-1148</t>
  </si>
  <si>
    <t>TRX0700159</t>
  </si>
  <si>
    <t>TRX0700160</t>
  </si>
  <si>
    <t>NIP DR/Apex Commodities Ltd/PO-2648</t>
  </si>
  <si>
    <t>TRX0700161</t>
  </si>
  <si>
    <t>NIP CR/Harbour Point Hotels/INV-1144 (NET OF 5% WHT)</t>
  </si>
  <si>
    <t>TRX0700162</t>
  </si>
  <si>
    <t>TRX0700163</t>
  </si>
  <si>
    <t>POS SETTLEMENT WK1 Apr-25</t>
  </si>
  <si>
    <t>TRX0700164</t>
  </si>
  <si>
    <t>TRX0700165</t>
  </si>
  <si>
    <t>TRX0700166</t>
  </si>
  <si>
    <t>CHEQUE DEPOSIT 004512 - KOLADE &amp; SONS ENT.</t>
  </si>
  <si>
    <t>TRX0700167</t>
  </si>
  <si>
    <t>TRX0700168</t>
  </si>
  <si>
    <t>NIP DR/Apex Commodities Ltd/PO-2171</t>
  </si>
  <si>
    <t>TRX0700169</t>
  </si>
  <si>
    <t>NIP DR/Ibeju Farms Cooperative/PO-2311</t>
  </si>
  <si>
    <t>TRX0700170</t>
  </si>
  <si>
    <t>TRX0700171</t>
  </si>
  <si>
    <t>TRX0700172</t>
  </si>
  <si>
    <t>TRX0700173</t>
  </si>
  <si>
    <t>TRF FROM Zenith Foods Ltd/BAL PMT INV-1148</t>
  </si>
  <si>
    <t>TRX0700174</t>
  </si>
  <si>
    <t>TRX0700175</t>
  </si>
  <si>
    <t>POS SETTLEMENT WK2 Apr-25</t>
  </si>
  <si>
    <t>TRX0700176</t>
  </si>
  <si>
    <t>TRX0700177</t>
  </si>
  <si>
    <t>TRX0700178</t>
  </si>
  <si>
    <t>RETURNED CHEQUE 004512 - UNPAID (INSUFFICIENT FUNDS)</t>
  </si>
  <si>
    <t>Returned cheque</t>
  </si>
  <si>
    <t>TRX0700179</t>
  </si>
  <si>
    <t>RETURNED CHEQUE FEE</t>
  </si>
  <si>
    <t>TRX0700180</t>
  </si>
  <si>
    <t>TRX0700181</t>
  </si>
  <si>
    <t>TRX0700182</t>
  </si>
  <si>
    <t>NIP CR/Naija Fresh Mart/INV-1132</t>
  </si>
  <si>
    <t>TRX0700183</t>
  </si>
  <si>
    <t>TRX0700184</t>
  </si>
  <si>
    <t>POS SETTLEMENT WK3 Apr-25</t>
  </si>
  <si>
    <t>TRX0700185</t>
  </si>
  <si>
    <t>TRX0700186</t>
  </si>
  <si>
    <t>TRX0700187</t>
  </si>
  <si>
    <t>NIP CR/Kolade &amp; Sons Ent./INV-1123</t>
  </si>
  <si>
    <t>TRX0700188</t>
  </si>
  <si>
    <t>TRX0700189</t>
  </si>
  <si>
    <t>NIP DR/Delta Cold Chain Services/PO-2160</t>
  </si>
  <si>
    <t>TRX0700190</t>
  </si>
  <si>
    <t>TRX0700191</t>
  </si>
  <si>
    <t>NIP CR/Kolade &amp; Sons Ent./INV-1154 (NET OF 5% WHT)</t>
  </si>
  <si>
    <t>TRX0700192</t>
  </si>
  <si>
    <t>TRX0700193</t>
  </si>
  <si>
    <t>TRF FROM Zenith Foods Ltd/PART PMT INV-1158</t>
  </si>
  <si>
    <t>TRX0700194</t>
  </si>
  <si>
    <t>TRX0700195</t>
  </si>
  <si>
    <t>TRF FROM Zenith Foods Ltd/BAL PMT INV-1158</t>
  </si>
  <si>
    <t>TRX0700196</t>
  </si>
  <si>
    <t>TRX0700197</t>
  </si>
  <si>
    <t>POS SETTLEMENT WK4 Apr-25</t>
  </si>
  <si>
    <t>TRX0700198</t>
  </si>
  <si>
    <t>TRX0700199</t>
  </si>
  <si>
    <t>TRX0700200</t>
  </si>
  <si>
    <t>TRX0700201</t>
  </si>
  <si>
    <t>TRX0700202</t>
  </si>
  <si>
    <t>TRX0700203</t>
  </si>
  <si>
    <t>TRX0700204</t>
  </si>
  <si>
    <t>TRX0700205</t>
  </si>
  <si>
    <t>NIP CR/Zenith Foods Ltd/INV-1174 (NET OF 5% WHT)</t>
  </si>
  <si>
    <t>TRX0700206</t>
  </si>
  <si>
    <t>TRX0700207</t>
  </si>
  <si>
    <t>NIP CR/Lekki Gardens Estate Mgt/INV-1189</t>
  </si>
  <si>
    <t>TRX0700208</t>
  </si>
  <si>
    <t>TRX0700209</t>
  </si>
  <si>
    <t>NIP DR/Apex Commodities Ltd/PO-2917</t>
  </si>
  <si>
    <t>TRX0700210</t>
  </si>
  <si>
    <t>TRX0700211</t>
  </si>
  <si>
    <t>TRX0700212</t>
  </si>
  <si>
    <t>LOAN REPAYMENT TL/2025/0147 INSTALMENT 2/12</t>
  </si>
  <si>
    <t>TRX0700213</t>
  </si>
  <si>
    <t>POS SETTLEMENT WK1 May-25</t>
  </si>
  <si>
    <t>TRX0700214</t>
  </si>
  <si>
    <t>TRX0700215</t>
  </si>
  <si>
    <t>NIP DR/Sunrise Packaging Ltd/PO-2102</t>
  </si>
  <si>
    <t>TRX0700216</t>
  </si>
  <si>
    <t>NIP CR/Lekki Gardens Estate Mgt/INV-1211</t>
  </si>
  <si>
    <t>TRX0700217</t>
  </si>
  <si>
    <t>TRX0700218</t>
  </si>
  <si>
    <t>NIP DR/Sunrise Packaging Ltd/PO-2601</t>
  </si>
  <si>
    <t>TRX0700219</t>
  </si>
  <si>
    <t>TRF FROM Greenfield Pharmacy Chain/PART PMT INV-1203</t>
  </si>
  <si>
    <t>TRX0700220</t>
  </si>
  <si>
    <t>TRX0700221</t>
  </si>
  <si>
    <t>TRX0700222</t>
  </si>
  <si>
    <t>TRX0700223</t>
  </si>
  <si>
    <t>TRX0700224</t>
  </si>
  <si>
    <t>POS SETTLEMENT WK2 May-25</t>
  </si>
  <si>
    <t>TRX0700225</t>
  </si>
  <si>
    <t>TRX0700226</t>
  </si>
  <si>
    <t>TRX0700227</t>
  </si>
  <si>
    <t>FX TRANSFER USD 5,600 @ 1530 - IMPORT: SHENZHEN PACK TRADING CO</t>
  </si>
  <si>
    <t>TRX0700228</t>
  </si>
  <si>
    <t>TRX0700229</t>
  </si>
  <si>
    <t>TRX0700230</t>
  </si>
  <si>
    <t>TRF FROM OWN A/C SAVINGS 0123456789</t>
  </si>
  <si>
    <t>Transfer from own savings a/c</t>
  </si>
  <si>
    <t>TRX0700231</t>
  </si>
  <si>
    <t>TRX0700232</t>
  </si>
  <si>
    <t>POS SETTLEMENT WK3 May-25</t>
  </si>
  <si>
    <t>TRX0700233</t>
  </si>
  <si>
    <t>TRX0700234</t>
  </si>
  <si>
    <t>TRF FROM Greenfield Pharmacy Chain/BAL PMT INV-1203</t>
  </si>
  <si>
    <t>TRX0700235</t>
  </si>
  <si>
    <t>TRX0700236</t>
  </si>
  <si>
    <t>TRX0700237</t>
  </si>
  <si>
    <t>TRX0700238</t>
  </si>
  <si>
    <t>NIP CR/Brightway Supermarkets/INV-1166 (NET OF 5% WHT)</t>
  </si>
  <si>
    <t>TRX0700239</t>
  </si>
  <si>
    <t>TRX0700240</t>
  </si>
  <si>
    <t>NIP CR/Okafor Distribution Co/INV-1182</t>
  </si>
  <si>
    <t>TRX0700241</t>
  </si>
  <si>
    <t>TRX0700242</t>
  </si>
  <si>
    <t>NIP CR/Kolade &amp; Sons Ent./INV-1196</t>
  </si>
  <si>
    <t>TRX0700243</t>
  </si>
  <si>
    <t>TRX0700244</t>
  </si>
  <si>
    <t>NIP CR/Brightway Supermarkets/INV-1215</t>
  </si>
  <si>
    <t>TRX0700245</t>
  </si>
  <si>
    <t>TRX0700246</t>
  </si>
  <si>
    <t>TRX0700247</t>
  </si>
  <si>
    <t>TRX0700248</t>
  </si>
  <si>
    <t>POS SETTLEMENT WK4 May-25</t>
  </si>
  <si>
    <t>TRX0700249</t>
  </si>
  <si>
    <t>TRX0700250</t>
  </si>
  <si>
    <t>TRX0700251</t>
  </si>
  <si>
    <t>NIP CR/UNKNOWN SENDER/REF 77201934</t>
  </si>
  <si>
    <t>Unidentified deposit</t>
  </si>
  <si>
    <t>TRX0700252</t>
  </si>
  <si>
    <t>TRX0700253</t>
  </si>
  <si>
    <t>TRX0700254</t>
  </si>
  <si>
    <t>TRX0700255</t>
  </si>
  <si>
    <t>TRX0700256</t>
  </si>
  <si>
    <t>TRX0700257</t>
  </si>
  <si>
    <t>NIP CR/Okafor Distribution Co/INV-1228</t>
  </si>
  <si>
    <t>TRX0700258</t>
  </si>
  <si>
    <t>TRX0700259</t>
  </si>
  <si>
    <t>TRX0700260</t>
  </si>
  <si>
    <t>LOAN REPAYMENT TL/2025/0147 INSTALMENT 3/12</t>
  </si>
  <si>
    <t>TRX0700261</t>
  </si>
  <si>
    <t>NIP CR/Zenith Foods Ltd/INV-1233</t>
  </si>
  <si>
    <t>TRX0700262</t>
  </si>
  <si>
    <t>TRX0700263</t>
  </si>
  <si>
    <t>TRX0700264</t>
  </si>
  <si>
    <t>POS SETTLEMENT WK1 Jun-25</t>
  </si>
  <si>
    <t>TRX0700265</t>
  </si>
  <si>
    <t>TRX0700266</t>
  </si>
  <si>
    <t>TRF FROM Harbour Point Hotels/PART PMT INV-1223</t>
  </si>
  <si>
    <t>TRX0700267</t>
  </si>
  <si>
    <t>TRX0700268</t>
  </si>
  <si>
    <t>NIP DR/Ibeju Farms Cooperative/PO-2701</t>
  </si>
  <si>
    <t>TRX0700269</t>
  </si>
  <si>
    <t>TRX0700270</t>
  </si>
  <si>
    <t>TRX0700271</t>
  </si>
  <si>
    <t>TRX0700272</t>
  </si>
  <si>
    <t>NIP DR/Harbour Point Hotels/REFUND OF OVERPAYMENT INV-1066</t>
  </si>
  <si>
    <t>Customer refunds</t>
  </si>
  <si>
    <t>TRX0700273</t>
  </si>
  <si>
    <t>NIP CR/Naija Fresh Mart/INV-1252</t>
  </si>
  <si>
    <t>TRX0700274</t>
  </si>
  <si>
    <t>TRX0700275</t>
  </si>
  <si>
    <t>TRX0700276</t>
  </si>
  <si>
    <t>NIP CR/Kolade &amp; Sons Ent./INV-1244 (NET OF 5% WHT)</t>
  </si>
  <si>
    <t>TRX0700277</t>
  </si>
  <si>
    <t>TRX0700278</t>
  </si>
  <si>
    <t>NIP CR/Greenfield Pharmacy Chain/INV-1256 (NET OF 5% WHT)</t>
  </si>
  <si>
    <t>TRX0700279</t>
  </si>
  <si>
    <t>TRX0700280</t>
  </si>
  <si>
    <t>POS SETTLEMENT WK2 Jun-25</t>
  </si>
  <si>
    <t>TRX0700281</t>
  </si>
  <si>
    <t>TRX0700282</t>
  </si>
  <si>
    <t>NIP CR/Greenfield Pharmacy Chain/INV-1238</t>
  </si>
  <si>
    <t>TRX0700283</t>
  </si>
  <si>
    <t>TRX0700284</t>
  </si>
  <si>
    <t>NIP DR/Ibeju Farms Cooperative/PO-2667</t>
  </si>
  <si>
    <t>TRX0700285</t>
  </si>
  <si>
    <t>TRX0700286</t>
  </si>
  <si>
    <t>TRX0700287</t>
  </si>
  <si>
    <t>TRF FROM Harbour Point Hotels/BAL PMT INV-1223</t>
  </si>
  <si>
    <t>TRX0700288</t>
  </si>
  <si>
    <t>TRX0700289</t>
  </si>
  <si>
    <t>NIP DR/Apex Commodities Ltd/PO-2214</t>
  </si>
  <si>
    <t>TRX0700290</t>
  </si>
  <si>
    <t>NIP DR/Sunrise Packaging Ltd/PO-2008</t>
  </si>
  <si>
    <t>TRX0700291</t>
  </si>
  <si>
    <t>POS SETTLEMENT WK3 Jun-25</t>
  </si>
  <si>
    <t>TRX0700292</t>
  </si>
  <si>
    <t>TRX0700293</t>
  </si>
  <si>
    <t>TRX0700294</t>
  </si>
  <si>
    <t>FIRS CIT FINAL PAYMENT FY2024 (RRR 2250012345)</t>
  </si>
  <si>
    <t>Income tax payment</t>
  </si>
  <si>
    <t>TRX0700295</t>
  </si>
  <si>
    <t>TRX0700296</t>
  </si>
  <si>
    <t>TRX0700297</t>
  </si>
  <si>
    <t>TRX0700298</t>
  </si>
  <si>
    <t>POS SETTLEMENT WK4 Jun-25</t>
  </si>
  <si>
    <t>TRX0700299</t>
  </si>
  <si>
    <t>TRX0700300</t>
  </si>
  <si>
    <t>NIP DR/SHAREHOLDERS/FINAL DIVIDEND FY2024 (NET OF WHT)</t>
  </si>
  <si>
    <t>Dividends paid</t>
  </si>
  <si>
    <t>TRX0700301</t>
  </si>
  <si>
    <t>TRX0700302</t>
  </si>
  <si>
    <t>TRF TO DIRECTOR MR ADEBAYO - BALANCE OF ADVANCE</t>
  </si>
  <si>
    <t>TRX0700303</t>
  </si>
  <si>
    <t>TRX0700304</t>
  </si>
  <si>
    <t>TRX0700305</t>
  </si>
  <si>
    <t>TRX0700306</t>
  </si>
  <si>
    <t>TRX0700307</t>
  </si>
  <si>
    <t>TRX0700308</t>
  </si>
  <si>
    <t>TRX0700309</t>
  </si>
  <si>
    <t>TRX0700310</t>
  </si>
  <si>
    <t>NIP DR/Ikoyi Property Mgt/HALF-YEAR RENT JUL-DEC 2025</t>
  </si>
  <si>
    <t>TRX0700311</t>
  </si>
  <si>
    <t>LOAN REPAYMENT TL/2025/0147 INSTALMENT 4/12</t>
  </si>
  <si>
    <t>TRX0700312</t>
  </si>
  <si>
    <t>NIP CR/Greenfield Pharmacy Chain/INV-1294</t>
  </si>
  <si>
    <t>TRX0700313</t>
  </si>
  <si>
    <t>TRX0700314</t>
  </si>
  <si>
    <t>POS SETTLEMENT WK1 Jul-25</t>
  </si>
  <si>
    <t>TRX0700315</t>
  </si>
  <si>
    <t>TRX0700316</t>
  </si>
  <si>
    <t>NIP DR/Ibeju Farms Cooperative/PO-2574</t>
  </si>
  <si>
    <t>TRX0700317</t>
  </si>
  <si>
    <t>TRX0700318</t>
  </si>
  <si>
    <t>TRX0700319</t>
  </si>
  <si>
    <t>TRX0700320</t>
  </si>
  <si>
    <t>NIP CR/Naija Fresh Mart/INV-1274</t>
  </si>
  <si>
    <t>TRX0700321</t>
  </si>
  <si>
    <t>TRX0700322</t>
  </si>
  <si>
    <t>POS SETTLEMENT WK2 Jul-25</t>
  </si>
  <si>
    <t>TRX0700323</t>
  </si>
  <si>
    <t>TRX0700324</t>
  </si>
  <si>
    <t>NIP DR/Ibeju Farms Cooperative/PO-2133</t>
  </si>
  <si>
    <t>TRX0700325</t>
  </si>
  <si>
    <t>NIP DR/Apex Commodities Ltd/PO-2246</t>
  </si>
  <si>
    <t>TRX0700326</t>
  </si>
  <si>
    <t>TRX0700327</t>
  </si>
  <si>
    <t>TRX0700328</t>
  </si>
  <si>
    <t>TRX0700329</t>
  </si>
  <si>
    <t>NIP CR/Okafor Distribution Co/INV-1269</t>
  </si>
  <si>
    <t>TRX0700330</t>
  </si>
  <si>
    <t>TRX0700331</t>
  </si>
  <si>
    <t>NIP CR/Lekki Gardens Estate Mgt/INV-1284</t>
  </si>
  <si>
    <t>TRX0700332</t>
  </si>
  <si>
    <t>TRX0700333</t>
  </si>
  <si>
    <t>NIP CR/Zenith Foods Ltd/INV-1291 (NET OF 5% WHT)</t>
  </si>
  <si>
    <t>TRX0700334</t>
  </si>
  <si>
    <t>TRX0700335</t>
  </si>
  <si>
    <t>POS SETTLEMENT WK3 Jul-25</t>
  </si>
  <si>
    <t>TRX0700336</t>
  </si>
  <si>
    <t>TRX0700337</t>
  </si>
  <si>
    <t>TRX0700338</t>
  </si>
  <si>
    <t>NIP DR/Apex Commodities Ltd/PO-2077</t>
  </si>
  <si>
    <t>TRX0700339</t>
  </si>
  <si>
    <t>NIP DR/Prime Agro Supplies/PO-2417</t>
  </si>
  <si>
    <t>TRX0700340</t>
  </si>
  <si>
    <t>TRX0700341</t>
  </si>
  <si>
    <t>NIP CR/Zenith Foods Ltd/INV-1280 (NET OF 5% WHT)</t>
  </si>
  <si>
    <t>TRX0700342</t>
  </si>
  <si>
    <t>TRX0700343</t>
  </si>
  <si>
    <t>TRX0700344</t>
  </si>
  <si>
    <t>TRX0700345</t>
  </si>
  <si>
    <t>NIP CR/Brightway Supermarkets/INV-1262</t>
  </si>
  <si>
    <t>TRX0700346</t>
  </si>
  <si>
    <t>TRX0700347</t>
  </si>
  <si>
    <t>REVERSAL - DUPLICATE NIP DR 22-JUL PRIME AGRO</t>
  </si>
  <si>
    <t>Reversal of duplicate debit</t>
  </si>
  <si>
    <t>TRX0700348</t>
  </si>
  <si>
    <t>POS SETTLEMENT WK4 Jul-25</t>
  </si>
  <si>
    <t>TRX0700349</t>
  </si>
  <si>
    <t>TRX0700350</t>
  </si>
  <si>
    <t>TRX0700351</t>
  </si>
  <si>
    <t>TRX0700352</t>
  </si>
  <si>
    <t>TRX0700353</t>
  </si>
  <si>
    <t>TRX0700354</t>
  </si>
  <si>
    <t>TRX0700355</t>
  </si>
  <si>
    <t>TRX0700356</t>
  </si>
  <si>
    <t>NIP CR/Zenith Foods Ltd/INV-1297 (NET OF 5% WHT)</t>
  </si>
  <si>
    <t>TRX0700357</t>
  </si>
  <si>
    <t>TRX0700358</t>
  </si>
  <si>
    <t>TRX0700359</t>
  </si>
  <si>
    <t>LOAN REPAYMENT TL/2025/0147 INSTALMENT 5/12</t>
  </si>
  <si>
    <t>TRX0700360</t>
  </si>
  <si>
    <t>NIP CR/Naija Fresh Mart/INV-1320 (NET OF 5% WHT)</t>
  </si>
  <si>
    <t>TRX0700361</t>
  </si>
  <si>
    <t>TRX0700362</t>
  </si>
  <si>
    <t>TRX0700363</t>
  </si>
  <si>
    <t>NIP DR/Mikano Intl/INDUSTRIAL GENERATOR 60KVA</t>
  </si>
  <si>
    <t>TRX0700364</t>
  </si>
  <si>
    <t>POS SETTLEMENT WK1 Aug-25</t>
  </si>
  <si>
    <t>TRX0700365</t>
  </si>
  <si>
    <t>TRX0700366</t>
  </si>
  <si>
    <t>NIP CR/Greenfield Pharmacy Chain/INV-1328</t>
  </si>
  <si>
    <t>TRX0700367</t>
  </si>
  <si>
    <t>TRX0700368</t>
  </si>
  <si>
    <t>TRX0700369</t>
  </si>
  <si>
    <t>TRX0700370</t>
  </si>
  <si>
    <t>NIP DR/Prime Agro Supplies/PO-2184</t>
  </si>
  <si>
    <t>TRX0700371</t>
  </si>
  <si>
    <t>TRX0700372</t>
  </si>
  <si>
    <t>TRX0700373</t>
  </si>
  <si>
    <t>TRX0700374</t>
  </si>
  <si>
    <t>NIP CR/Harbour Point Hotels/INV-1312 (NET OF 5% WHT)</t>
  </si>
  <si>
    <t>TRX0700375</t>
  </si>
  <si>
    <t>TRX0700376</t>
  </si>
  <si>
    <t>POS SETTLEMENT WK2 Aug-25</t>
  </si>
  <si>
    <t>TRX0700377</t>
  </si>
  <si>
    <t>TRX0700378</t>
  </si>
  <si>
    <t>NIP DR/Apex Commodities Ltd/PO-2679</t>
  </si>
  <si>
    <t>TRX0700379</t>
  </si>
  <si>
    <t>TRX0700380</t>
  </si>
  <si>
    <t>NIP CR/Harbour Point Hotels/INV-1303</t>
  </si>
  <si>
    <t>TRX0700381</t>
  </si>
  <si>
    <t>TRX0700382</t>
  </si>
  <si>
    <t>NIP CR/Lekki Gardens Estate Mgt/INV-1307</t>
  </si>
  <si>
    <t>TRX0700383</t>
  </si>
  <si>
    <t>TRX0700384</t>
  </si>
  <si>
    <t>TRX0700385</t>
  </si>
  <si>
    <t>FX TRANSFER USD 4,900 @ 1558 - IMPORT: SHENZHEN PACK TRADING CO</t>
  </si>
  <si>
    <t>TRX0700386</t>
  </si>
  <si>
    <t>TRX0700387</t>
  </si>
  <si>
    <t>NIP CR/Greenfield Pharmacy Chain/INV-1325</t>
  </si>
  <si>
    <t>TRX0700388</t>
  </si>
  <si>
    <t>TRX0700389</t>
  </si>
  <si>
    <t>POS SETTLEMENT WK3 Aug-25</t>
  </si>
  <si>
    <t>TRX0700390</t>
  </si>
  <si>
    <t>TRX0700391</t>
  </si>
  <si>
    <t>NIP DR/Ibeju Farms Cooperative/PO-2993</t>
  </si>
  <si>
    <t>TRX0700392</t>
  </si>
  <si>
    <t>TRX0700393</t>
  </si>
  <si>
    <t>TRX0700394</t>
  </si>
  <si>
    <t>NIP DR/Sunrise Packaging Ltd/PO-2589</t>
  </si>
  <si>
    <t>TRX0700395</t>
  </si>
  <si>
    <t>TRX0700396</t>
  </si>
  <si>
    <t>NIP DR/Prime Agro Supplies/PO-2507</t>
  </si>
  <si>
    <t>TRX0700397</t>
  </si>
  <si>
    <t>TRX0700398</t>
  </si>
  <si>
    <t>POS SETTLEMENT WK4 Aug-25</t>
  </si>
  <si>
    <t>TRX0700399</t>
  </si>
  <si>
    <t>TRX0700400</t>
  </si>
  <si>
    <t>TRX0700401</t>
  </si>
  <si>
    <t>TRX0700402</t>
  </si>
  <si>
    <t>TRX0700403</t>
  </si>
  <si>
    <t>TRX0700404</t>
  </si>
  <si>
    <t>TRX0700405</t>
  </si>
  <si>
    <t>NIP CR/Harbour Point Hotels/INV-1337</t>
  </si>
  <si>
    <t>TRX0700406</t>
  </si>
  <si>
    <t>TRX0700407</t>
  </si>
  <si>
    <t>NIP CR/Zenith Foods Ltd/INV-1352 (NET OF 5% WHT)</t>
  </si>
  <si>
    <t>TRX0700408</t>
  </si>
  <si>
    <t>TRX0700409</t>
  </si>
  <si>
    <t>TRX0700410</t>
  </si>
  <si>
    <t>LOAN REPAYMENT TL/2025/0147 INSTALMENT 6/12</t>
  </si>
  <si>
    <t>TRX0700411</t>
  </si>
  <si>
    <t>NIP CR/Zenith Foods Ltd/INV-1372 (NET OF 5% WHT)</t>
  </si>
  <si>
    <t>TRX0700412</t>
  </si>
  <si>
    <t>TRX0700413</t>
  </si>
  <si>
    <t>NIP CR/Kolade &amp; Sons Ent./INV-1361 (NET OF 5% WHT)</t>
  </si>
  <si>
    <t>TRX0700414</t>
  </si>
  <si>
    <t>TRX0700415</t>
  </si>
  <si>
    <t>TRX0700416</t>
  </si>
  <si>
    <t>NIP CR/Kolade &amp; Sons Ent./INV-1355</t>
  </si>
  <si>
    <t>TRX0700417</t>
  </si>
  <si>
    <t>TRX0700418</t>
  </si>
  <si>
    <t>POS SETTLEMENT WK1 Sep-25</t>
  </si>
  <si>
    <t>TRX0700419</t>
  </si>
  <si>
    <t>TRX0700420</t>
  </si>
  <si>
    <t>NIP DR/Sunrise Packaging Ltd/PO-2610</t>
  </si>
  <si>
    <t>TRX0700421</t>
  </si>
  <si>
    <t>TRX0700422</t>
  </si>
  <si>
    <t>TRX0700423</t>
  </si>
  <si>
    <t>NIP DR/Prime Agro Supplies/PO-2855</t>
  </si>
  <si>
    <t>TRX0700424</t>
  </si>
  <si>
    <t>TRX0700425</t>
  </si>
  <si>
    <t>POS SETTLEMENT WK2 Sep-25</t>
  </si>
  <si>
    <t>TRX0700426</t>
  </si>
  <si>
    <t>TRX0700427</t>
  </si>
  <si>
    <t>NIP DR/Ibeju Farms Cooperative/PO-2170</t>
  </si>
  <si>
    <t>TRX0700428</t>
  </si>
  <si>
    <t>TRX0700429</t>
  </si>
  <si>
    <t>TRX0700430</t>
  </si>
  <si>
    <t>TRX0700431</t>
  </si>
  <si>
    <t>TRF FROM Oluwole Engineering/SALE OF OLD GENERATOR</t>
  </si>
  <si>
    <t>Asset disposal proceeds</t>
  </si>
  <si>
    <t>TRX0700432</t>
  </si>
  <si>
    <t>TRX0700433</t>
  </si>
  <si>
    <t>POS SETTLEMENT WK3 Sep-25</t>
  </si>
  <si>
    <t>TRX0700434</t>
  </si>
  <si>
    <t>TRX0700435</t>
  </si>
  <si>
    <t>NIP DR/Ibeju Farms Cooperative/PO-2986</t>
  </si>
  <si>
    <t>TRX0700436</t>
  </si>
  <si>
    <t>TRX0700437</t>
  </si>
  <si>
    <t>TRX0700438</t>
  </si>
  <si>
    <t>TRF FROM Okafor Distribution Co/PART PMT INV-1346</t>
  </si>
  <si>
    <t>TRX0700439</t>
  </si>
  <si>
    <t>TRX0700440</t>
  </si>
  <si>
    <t>TRX0700441</t>
  </si>
  <si>
    <t>NIP DR/Eze &amp; Partners Legal/LEGAL FEES - TENANCY DISPUTE</t>
  </si>
  <si>
    <t>TRX0700442</t>
  </si>
  <si>
    <t>TRX0700443</t>
  </si>
  <si>
    <t>TRF FROM Okafor Distribution Co/BAL PMT INV-1346</t>
  </si>
  <si>
    <t>TRX0700444</t>
  </si>
  <si>
    <t>TRX0700445</t>
  </si>
  <si>
    <t>NIP CR/Zenith Foods Ltd/INV-1366</t>
  </si>
  <si>
    <t>TRX0700446</t>
  </si>
  <si>
    <t>TRX0700447</t>
  </si>
  <si>
    <t>POS SETTLEMENT WK4 Sep-25</t>
  </si>
  <si>
    <t>TRX0700448</t>
  </si>
  <si>
    <t>TRX0700449</t>
  </si>
  <si>
    <t>TRX0700450</t>
  </si>
  <si>
    <t>TRX0700451</t>
  </si>
  <si>
    <t>TRX0700452</t>
  </si>
  <si>
    <t>TRX0700453</t>
  </si>
  <si>
    <t>TRX0700454</t>
  </si>
  <si>
    <t>TRX0700455</t>
  </si>
  <si>
    <t>TRX0700456</t>
  </si>
  <si>
    <t>TRX0700457</t>
  </si>
  <si>
    <t>LOAN REPAYMENT TL/2025/0147 INSTALMENT 7/12</t>
  </si>
  <si>
    <t>TRX0700458</t>
  </si>
  <si>
    <t>NIP CR/Okafor Distribution Co/INV-1415 (NET OF 5% WHT)</t>
  </si>
  <si>
    <t>TRX0700459</t>
  </si>
  <si>
    <t>TRX0700460</t>
  </si>
  <si>
    <t>POS SETTLEMENT WK1 Oct-25</t>
  </si>
  <si>
    <t>TRX0700461</t>
  </si>
  <si>
    <t>TRX0700462</t>
  </si>
  <si>
    <t>NIP DR/Sunrise Packaging Ltd/PO-2826</t>
  </si>
  <si>
    <t>TRX0700463</t>
  </si>
  <si>
    <t>TRX0700464</t>
  </si>
  <si>
    <t>NIP CR/Harbour Point Hotels/INV-1391 (NET OF 5% WHT)</t>
  </si>
  <si>
    <t>TRX0700465</t>
  </si>
  <si>
    <t>TRX0700466</t>
  </si>
  <si>
    <t>TRF FROM Greenfield Pharmacy Chain/PART PMT INV-1400</t>
  </si>
  <si>
    <t>TRX0700467</t>
  </si>
  <si>
    <t>TRX0700468</t>
  </si>
  <si>
    <t>POS CHARGEBACK - DISPUTED TRANSACTION</t>
  </si>
  <si>
    <t>TRX0700469</t>
  </si>
  <si>
    <t>TRX0700470</t>
  </si>
  <si>
    <t>TRX0700471</t>
  </si>
  <si>
    <t>POS SETTLEMENT WK2 Oct-25</t>
  </si>
  <si>
    <t>TRX0700472</t>
  </si>
  <si>
    <t>TRX0700473</t>
  </si>
  <si>
    <t>TRX0700474</t>
  </si>
  <si>
    <t>TRX0700475</t>
  </si>
  <si>
    <t>NIP CR/NIGERIAN AGRIC GRANT SCHEME/SME SUPPORT GRANT</t>
  </si>
  <si>
    <t>Grant income</t>
  </si>
  <si>
    <t>TRX0700476</t>
  </si>
  <si>
    <t>TRX0700477</t>
  </si>
  <si>
    <t>TRF FROM Greenfield Pharmacy Chain/BAL PMT INV-1400</t>
  </si>
  <si>
    <t>TRX0700478</t>
  </si>
  <si>
    <t>TRX0700479</t>
  </si>
  <si>
    <t>NIP CR/Harbour Point Hotels/INV-1419</t>
  </si>
  <si>
    <t>TRX0700480</t>
  </si>
  <si>
    <t>TRX0700481</t>
  </si>
  <si>
    <t>TRX0700482</t>
  </si>
  <si>
    <t>POS SETTLEMENT WK3 Oct-25</t>
  </si>
  <si>
    <t>TRX0700483</t>
  </si>
  <si>
    <t>TRX0700484</t>
  </si>
  <si>
    <t>NIP DR/Delta Cold Chain Services/PO-2425</t>
  </si>
  <si>
    <t>TRX0700485</t>
  </si>
  <si>
    <t>TRX0700486</t>
  </si>
  <si>
    <t>NIP CR/Greenfield Pharmacy Chain/INV-1388</t>
  </si>
  <si>
    <t>TRX0700487</t>
  </si>
  <si>
    <t>TRX0700488</t>
  </si>
  <si>
    <t>TRX0700489</t>
  </si>
  <si>
    <t>NIP CR/Kolade &amp; Sons Ent./INV-1384</t>
  </si>
  <si>
    <t>TRX0700490</t>
  </si>
  <si>
    <t>TRX0700491</t>
  </si>
  <si>
    <t>NIP CR/Brightway Supermarkets/INV-1408 (NET OF 5% WHT)</t>
  </si>
  <si>
    <t>TRX0700492</t>
  </si>
  <si>
    <t>TRX0700493</t>
  </si>
  <si>
    <t>NIP DR/Sunrise Packaging Ltd/PO-2027</t>
  </si>
  <si>
    <t>TRX0700494</t>
  </si>
  <si>
    <t>TRX0700495</t>
  </si>
  <si>
    <t>NIP CR/Brightway Supermarkets/INV-1376 (NET OF 5% WHT)</t>
  </si>
  <si>
    <t>TRX0700496</t>
  </si>
  <si>
    <t>TRX0700497</t>
  </si>
  <si>
    <t>POS SETTLEMENT WK4 Oct-25</t>
  </si>
  <si>
    <t>TRX0700498</t>
  </si>
  <si>
    <t>TRX0700499</t>
  </si>
  <si>
    <t>TRX0700500</t>
  </si>
  <si>
    <t>TRX0700501</t>
  </si>
  <si>
    <t>PAYMENT TO STAFF - SEVERANCE (T. BELLO)</t>
  </si>
  <si>
    <t>TRX0700502</t>
  </si>
  <si>
    <t>TRX0700503</t>
  </si>
  <si>
    <t>TRX0700504</t>
  </si>
  <si>
    <t>TRX0700505</t>
  </si>
  <si>
    <t>TRX0700506</t>
  </si>
  <si>
    <t>TRX0700507</t>
  </si>
  <si>
    <t>LOAN REPAYMENT TL/2025/0147 INSTALMENT 8/12</t>
  </si>
  <si>
    <t>TRX0700508</t>
  </si>
  <si>
    <t>NIP DR/Prime Agro Supplies/PO-2725</t>
  </si>
  <si>
    <t>TRX0700509</t>
  </si>
  <si>
    <t>TRX0700510</t>
  </si>
  <si>
    <t>NIP CR/Kolade &amp; Sons Ent./INV-1435</t>
  </si>
  <si>
    <t>TRX0700511</t>
  </si>
  <si>
    <t>TRX0700512</t>
  </si>
  <si>
    <t>POS SETTLEMENT WK1 Nov-25</t>
  </si>
  <si>
    <t>TRX0700513</t>
  </si>
  <si>
    <t>TRX0700514</t>
  </si>
  <si>
    <t>NIP CR/Naija Fresh Mart/INV-1426</t>
  </si>
  <si>
    <t>TRX0700515</t>
  </si>
  <si>
    <t>TRX0700516</t>
  </si>
  <si>
    <t>TRF FROM Zenith Foods Ltd/PART PMT INV-1450</t>
  </si>
  <si>
    <t>TRX0700517</t>
  </si>
  <si>
    <t>TRX0700518</t>
  </si>
  <si>
    <t>NIP DR/Delta Cold Chain Services/PO-2585</t>
  </si>
  <si>
    <t>TRX0700519</t>
  </si>
  <si>
    <t>NIP DR/Ibeju Farms Cooperative/PO-2065</t>
  </si>
  <si>
    <t>TRX0700520</t>
  </si>
  <si>
    <t>TRX0700521</t>
  </si>
  <si>
    <t>TRX0700522</t>
  </si>
  <si>
    <t>NIP DR/Prime Agro Supplies/PO-2513</t>
  </si>
  <si>
    <t>TRX0700523</t>
  </si>
  <si>
    <t>TRX0700524</t>
  </si>
  <si>
    <t>POS SETTLEMENT WK2 Nov-25</t>
  </si>
  <si>
    <t>TRX0700525</t>
  </si>
  <si>
    <t>TRX0700526</t>
  </si>
  <si>
    <t>NIP CR/Okafor Distribution Co/INV-1446 (NET OF 5% WHT)</t>
  </si>
  <si>
    <t>TRX0700527</t>
  </si>
  <si>
    <t>TRX0700528</t>
  </si>
  <si>
    <t>TRX0700529</t>
  </si>
  <si>
    <t>TRX0700530</t>
  </si>
  <si>
    <t>FX TRANSFER USD 6,300 @ 1558 - IMPORT: SHENZHEN PACK TRADING CO</t>
  </si>
  <si>
    <t>TRX0700531</t>
  </si>
  <si>
    <t>TRX0700532</t>
  </si>
  <si>
    <t>TRF FROM Zenith Foods Ltd/BAL PMT INV-1450</t>
  </si>
  <si>
    <t>TRX0700533</t>
  </si>
  <si>
    <t>TRX0700534</t>
  </si>
  <si>
    <t>POS SETTLEMENT WK3 Nov-25</t>
  </si>
  <si>
    <t>TRX0700535</t>
  </si>
  <si>
    <t>TRX0700536</t>
  </si>
  <si>
    <t>NIP CR/Naija Fresh Mart/INV-1430</t>
  </si>
  <si>
    <t>TRX0700537</t>
  </si>
  <si>
    <t>TRX0700538</t>
  </si>
  <si>
    <t>TRX0700539</t>
  </si>
  <si>
    <t>NIP CR/Brightway Supermarkets/INV-1443</t>
  </si>
  <si>
    <t>TRX0700540</t>
  </si>
  <si>
    <t>TRX0700541</t>
  </si>
  <si>
    <t>NIP DR/Apex Commodities Ltd/PO-2962</t>
  </si>
  <si>
    <t>TRX0700542</t>
  </si>
  <si>
    <t>TRX0700543</t>
  </si>
  <si>
    <t>TRX0700544</t>
  </si>
  <si>
    <t>TRX0700545</t>
  </si>
  <si>
    <t>POS SETTLEMENT WK4 Nov-25</t>
  </si>
  <si>
    <t>TRX0700546</t>
  </si>
  <si>
    <t>TRX0700547</t>
  </si>
  <si>
    <t>TRX0700548</t>
  </si>
  <si>
    <t>FIRS CIT PROVISIONAL / MINIMUM TAX 2025</t>
  </si>
  <si>
    <t>TRX0700549</t>
  </si>
  <si>
    <t>TRX0700550</t>
  </si>
  <si>
    <t>TRX0700551</t>
  </si>
  <si>
    <t>TRX0700552</t>
  </si>
  <si>
    <t>TRX0700553</t>
  </si>
  <si>
    <t>TRF FROM Greenfield Pharmacy Chain/PART PMT INV-1453</t>
  </si>
  <si>
    <t>TRX0700554</t>
  </si>
  <si>
    <t>TRX0700555</t>
  </si>
  <si>
    <t>NIP DR/Delta Cold Chain Services/PO-2005</t>
  </si>
  <si>
    <t>TRX0700556</t>
  </si>
  <si>
    <t>TRX0700557</t>
  </si>
  <si>
    <t>LOAN REPAYMENT TL/2025/0147 INSTALMENT 9/12</t>
  </si>
  <si>
    <t>TRX0700558</t>
  </si>
  <si>
    <t>NIP DR/Compu-Hub Nigeria/12 LAPTOPS &amp; ACCESSORIES</t>
  </si>
  <si>
    <t>TRX0700559</t>
  </si>
  <si>
    <t>NIP CR/Okafor Distribution Co/INV-1488 (NET OF 5% WHT)</t>
  </si>
  <si>
    <t>TRX0700560</t>
  </si>
  <si>
    <t>TRX0700561</t>
  </si>
  <si>
    <t>TRX0700562</t>
  </si>
  <si>
    <t>POS SETTLEMENT WK1 Dec-25</t>
  </si>
  <si>
    <t>TRX0700563</t>
  </si>
  <si>
    <t>TRX0700564</t>
  </si>
  <si>
    <t>TRX0700565</t>
  </si>
  <si>
    <t>TRX0700566</t>
  </si>
  <si>
    <t>TRF FROM Greenfield Pharmacy Chain/BAL PMT INV-1453</t>
  </si>
  <si>
    <t>TRX0700567</t>
  </si>
  <si>
    <t>TRX0700568</t>
  </si>
  <si>
    <t>NIP DR/Ibeju Farms Cooperative/PO-2626</t>
  </si>
  <si>
    <t>TRX0700569</t>
  </si>
  <si>
    <t>TRX0700570</t>
  </si>
  <si>
    <t>POS SETTLEMENT WK2 Dec-25</t>
  </si>
  <si>
    <t>TRX0700571</t>
  </si>
  <si>
    <t>TRX0700572</t>
  </si>
  <si>
    <t>NIP DR/Delta Cold Chain Services/PO-2938</t>
  </si>
  <si>
    <t>TRX0700573</t>
  </si>
  <si>
    <t>TRX0700574</t>
  </si>
  <si>
    <t>TRX0700575</t>
  </si>
  <si>
    <t>TRF FROM Zenith Foods Ltd/PART PMT INV-1473</t>
  </si>
  <si>
    <t>TRX0700576</t>
  </si>
  <si>
    <t>TRX0700577</t>
  </si>
  <si>
    <t>TRX0700578</t>
  </si>
  <si>
    <t>SALARY PAYMENT - STAFF + 13TH MONTH BONUS</t>
  </si>
  <si>
    <t>TRX0700579</t>
  </si>
  <si>
    <t>NIP CR/Okafor Distribution Co/INV-1470</t>
  </si>
  <si>
    <t>TRX0700580</t>
  </si>
  <si>
    <t>TRX0700581</t>
  </si>
  <si>
    <t>POS SETTLEMENT WK3 Dec-25</t>
  </si>
  <si>
    <t>TRX0700582</t>
  </si>
  <si>
    <t>TRX0700583</t>
  </si>
  <si>
    <t>NIP DR/Delta Cold Chain Services/PO-2757</t>
  </si>
  <si>
    <t>TRX0700584</t>
  </si>
  <si>
    <t>NIP DR/Delta Cold Chain Services/PO-2975</t>
  </si>
  <si>
    <t>TRX0700585</t>
  </si>
  <si>
    <t>TRX0700586</t>
  </si>
  <si>
    <t>TRX0700587</t>
  </si>
  <si>
    <t>NIP CR/Harbour Point Hotels/INV-1481</t>
  </si>
  <si>
    <t>TRX0700588</t>
  </si>
  <si>
    <t>TRX0700589</t>
  </si>
  <si>
    <t>TRF FROM Greenfield Pharmacy Chain/PART PMT INV-1493</t>
  </si>
  <si>
    <t>TRX0700590</t>
  </si>
  <si>
    <t>TRX0700591</t>
  </si>
  <si>
    <t>TRX0700592</t>
  </si>
  <si>
    <t>TRF FROM Zenith Foods Ltd/BAL PMT INV-1473</t>
  </si>
  <si>
    <t>TRX0700593</t>
  </si>
  <si>
    <t>TRX0700594</t>
  </si>
  <si>
    <t>TRX0700595</t>
  </si>
  <si>
    <t>NIP CR/Zenith Foods Ltd/INV-1462</t>
  </si>
  <si>
    <t>TRX0700596</t>
  </si>
  <si>
    <t>TRX0700597</t>
  </si>
  <si>
    <t>TRF FROM Greenfield Pharmacy Chain/BAL PMT INV-1493</t>
  </si>
  <si>
    <t>TRX0700598</t>
  </si>
  <si>
    <t>TRX0700599</t>
  </si>
  <si>
    <t>POS SETTLEMENT WK4 Dec-25</t>
  </si>
  <si>
    <t>TRX0700600</t>
  </si>
  <si>
    <t>TRX0700601</t>
  </si>
  <si>
    <t>TRX0700602</t>
  </si>
  <si>
    <t>TRX0700603</t>
  </si>
  <si>
    <t>TRX0700604</t>
  </si>
  <si>
    <t>TRX0700605</t>
  </si>
  <si>
    <t>TRX0700606</t>
  </si>
  <si>
    <t>TOTALS / CLOSING</t>
  </si>
  <si>
    <t>Check: Opening + Credits - Debits - Closing (should be 0)</t>
  </si>
  <si>
    <t xml:space="preserve">NAITHS BANK PLC - STATEMENT OF ACCOUNT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</si>
</sst>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#,##0.00;\(#,##0.00\);\-"/>
  </numFmts>
  <fonts count="7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i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F8F00"/>
        <bgColor rgb="FF808000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BFBFBF"/>
      </top>
      <bottom style="double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164" fontId="4" fillId="0" borderId="0" xfId="0" applyNumberFormat="1" applyFont="1"/>
    <xf numFmtId="0" fontId="4" fillId="0" borderId="0" xfId="0" applyFont="1"/>
    <xf numFmtId="165" fontId="0" fillId="0" borderId="0" xfId="0" applyNumberFormat="1"/>
    <xf numFmtId="165" fontId="5" fillId="0" borderId="0" xfId="0" applyNumberFormat="1" applyFont="1"/>
    <xf numFmtId="0" fontId="0" fillId="4" borderId="0" xfId="0" applyFill="1"/>
    <xf numFmtId="164" fontId="0" fillId="0" borderId="0" xfId="0" applyNumberFormat="1"/>
    <xf numFmtId="165" fontId="4" fillId="0" borderId="1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9F057-7C54-4892-A12B-E2F07EF02AAC}">
  <dimension ref="A1:J614"/>
  <sheetViews>
    <sheetView tabSelected="1" zoomScaleNormal="100" workbookViewId="0">
      <pane ySplit="4" topLeftCell="A5" activePane="bottomLeft" state="frozen"/>
      <selection pane="bottomLeft" activeCell="C6" sqref="C6"/>
    </sheetView>
  </sheetViews>
  <sheetFormatPr defaultColWidth="8.6328125" defaultRowHeight="14.5" x14ac:dyDescent="0.35"/>
  <cols>
    <col min="1" max="3" width="13" customWidth="1"/>
    <col min="4" max="4" width="70" customWidth="1"/>
    <col min="5" max="6" width="16" customWidth="1"/>
    <col min="7" max="7" width="18" customWidth="1"/>
    <col min="8" max="8" width="3" customWidth="1"/>
    <col min="9" max="9" width="36" customWidth="1"/>
    <col min="10" max="10" width="8" customWidth="1"/>
  </cols>
  <sheetData>
    <row r="1" spans="1:10" ht="15.5" x14ac:dyDescent="0.35">
      <c r="A1" s="1" t="s">
        <v>921</v>
      </c>
    </row>
    <row r="2" spans="1:10" x14ac:dyDescent="0.35">
      <c r="A2" s="2" t="s">
        <v>0</v>
      </c>
    </row>
    <row r="4" spans="1:10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4"/>
      <c r="I4" s="5" t="s">
        <v>8</v>
      </c>
      <c r="J4" s="5" t="s">
        <v>9</v>
      </c>
    </row>
    <row r="5" spans="1:10" x14ac:dyDescent="0.35">
      <c r="A5" s="6">
        <v>45658</v>
      </c>
      <c r="B5" s="6">
        <v>45658</v>
      </c>
      <c r="C5" s="7" t="s">
        <v>10</v>
      </c>
      <c r="D5" s="7" t="s">
        <v>11</v>
      </c>
      <c r="E5" s="8"/>
      <c r="F5" s="8"/>
      <c r="G5" s="9">
        <v>21350000</v>
      </c>
      <c r="I5" s="10" t="s">
        <v>12</v>
      </c>
      <c r="J5" s="10"/>
    </row>
    <row r="6" spans="1:10" x14ac:dyDescent="0.35">
      <c r="A6" s="11">
        <v>45659</v>
      </c>
      <c r="B6" s="11">
        <v>45659</v>
      </c>
      <c r="C6" t="s">
        <v>13</v>
      </c>
      <c r="D6" t="s">
        <v>14</v>
      </c>
      <c r="E6" s="8"/>
      <c r="F6" s="9">
        <v>3595000</v>
      </c>
      <c r="G6" s="8">
        <f t="shared" ref="G6:G69" si="0">G5+F6-E6</f>
        <v>24945000</v>
      </c>
      <c r="I6" s="10" t="s">
        <v>15</v>
      </c>
      <c r="J6" s="10">
        <f t="shared" ref="J6:J69" si="1">MONTH(A6)</f>
        <v>1</v>
      </c>
    </row>
    <row r="7" spans="1:10" x14ac:dyDescent="0.35">
      <c r="A7" s="11">
        <v>45659</v>
      </c>
      <c r="B7" s="11">
        <v>45659</v>
      </c>
      <c r="C7" t="s">
        <v>16</v>
      </c>
      <c r="D7" t="s">
        <v>17</v>
      </c>
      <c r="E7" s="9">
        <v>50</v>
      </c>
      <c r="F7" s="8"/>
      <c r="G7" s="8">
        <f t="shared" si="0"/>
        <v>24944950</v>
      </c>
      <c r="I7" s="10" t="s">
        <v>18</v>
      </c>
      <c r="J7" s="10">
        <f t="shared" si="1"/>
        <v>1</v>
      </c>
    </row>
    <row r="8" spans="1:10" x14ac:dyDescent="0.35">
      <c r="A8" s="11">
        <v>45660</v>
      </c>
      <c r="B8" s="11">
        <v>45660</v>
      </c>
      <c r="C8" t="s">
        <v>19</v>
      </c>
      <c r="D8" t="s">
        <v>20</v>
      </c>
      <c r="E8" s="9">
        <v>165200</v>
      </c>
      <c r="F8" s="8"/>
      <c r="G8" s="8">
        <f t="shared" si="0"/>
        <v>24779750</v>
      </c>
      <c r="I8" s="10" t="s">
        <v>21</v>
      </c>
      <c r="J8" s="10">
        <f t="shared" si="1"/>
        <v>1</v>
      </c>
    </row>
    <row r="9" spans="1:10" x14ac:dyDescent="0.35">
      <c r="A9" s="11">
        <v>45663</v>
      </c>
      <c r="B9" s="11">
        <v>45663</v>
      </c>
      <c r="C9" t="s">
        <v>22</v>
      </c>
      <c r="D9" t="s">
        <v>23</v>
      </c>
      <c r="E9" s="8"/>
      <c r="F9" s="9">
        <v>943125</v>
      </c>
      <c r="G9" s="8">
        <f t="shared" si="0"/>
        <v>25722875</v>
      </c>
      <c r="I9" s="10" t="s">
        <v>15</v>
      </c>
      <c r="J9" s="10">
        <f t="shared" si="1"/>
        <v>1</v>
      </c>
    </row>
    <row r="10" spans="1:10" x14ac:dyDescent="0.35">
      <c r="A10" s="11">
        <v>45663</v>
      </c>
      <c r="B10" s="11">
        <v>45663</v>
      </c>
      <c r="C10" t="s">
        <v>24</v>
      </c>
      <c r="D10" t="s">
        <v>17</v>
      </c>
      <c r="E10" s="9">
        <v>50</v>
      </c>
      <c r="F10" s="8"/>
      <c r="G10" s="8">
        <f t="shared" si="0"/>
        <v>25722825</v>
      </c>
      <c r="I10" s="10" t="s">
        <v>18</v>
      </c>
      <c r="J10" s="10">
        <f t="shared" si="1"/>
        <v>1</v>
      </c>
    </row>
    <row r="11" spans="1:10" x14ac:dyDescent="0.35">
      <c r="A11" s="11">
        <v>45663</v>
      </c>
      <c r="B11" s="11">
        <v>45663</v>
      </c>
      <c r="C11" t="s">
        <v>25</v>
      </c>
      <c r="D11" t="s">
        <v>26</v>
      </c>
      <c r="E11" s="8"/>
      <c r="F11" s="9">
        <v>1443882.06</v>
      </c>
      <c r="G11" s="8">
        <f t="shared" si="0"/>
        <v>27166707.059999999</v>
      </c>
      <c r="I11" s="10" t="s">
        <v>27</v>
      </c>
      <c r="J11" s="10">
        <f t="shared" si="1"/>
        <v>1</v>
      </c>
    </row>
    <row r="12" spans="1:10" x14ac:dyDescent="0.35">
      <c r="A12" s="11">
        <v>45663</v>
      </c>
      <c r="B12" s="11">
        <v>45663</v>
      </c>
      <c r="C12" t="s">
        <v>28</v>
      </c>
      <c r="D12" t="s">
        <v>17</v>
      </c>
      <c r="E12" s="9">
        <v>50</v>
      </c>
      <c r="F12" s="8"/>
      <c r="G12" s="8">
        <f t="shared" si="0"/>
        <v>27166657.059999999</v>
      </c>
      <c r="I12" s="10" t="s">
        <v>18</v>
      </c>
      <c r="J12" s="10">
        <f t="shared" si="1"/>
        <v>1</v>
      </c>
    </row>
    <row r="13" spans="1:10" x14ac:dyDescent="0.35">
      <c r="A13" s="11">
        <v>45663</v>
      </c>
      <c r="B13" s="11">
        <v>45663</v>
      </c>
      <c r="C13" t="s">
        <v>29</v>
      </c>
      <c r="D13" t="s">
        <v>30</v>
      </c>
      <c r="E13" s="9">
        <v>414000</v>
      </c>
      <c r="F13" s="8"/>
      <c r="G13" s="8">
        <f t="shared" si="0"/>
        <v>26752657.059999999</v>
      </c>
      <c r="I13" s="10" t="s">
        <v>31</v>
      </c>
      <c r="J13" s="10">
        <f t="shared" si="1"/>
        <v>1</v>
      </c>
    </row>
    <row r="14" spans="1:10" x14ac:dyDescent="0.35">
      <c r="A14" s="11">
        <v>45663</v>
      </c>
      <c r="B14" s="11">
        <v>45663</v>
      </c>
      <c r="C14" t="s">
        <v>32</v>
      </c>
      <c r="D14" t="s">
        <v>33</v>
      </c>
      <c r="E14" s="9">
        <v>7200000</v>
      </c>
      <c r="F14" s="8"/>
      <c r="G14" s="8">
        <f t="shared" si="0"/>
        <v>19552657.059999999</v>
      </c>
      <c r="I14" s="10" t="s">
        <v>34</v>
      </c>
      <c r="J14" s="10">
        <f t="shared" si="1"/>
        <v>1</v>
      </c>
    </row>
    <row r="15" spans="1:10" x14ac:dyDescent="0.35">
      <c r="A15" s="11">
        <v>45664</v>
      </c>
      <c r="B15" s="11">
        <v>45664</v>
      </c>
      <c r="C15" t="s">
        <v>35</v>
      </c>
      <c r="D15" t="s">
        <v>36</v>
      </c>
      <c r="E15" s="9">
        <v>2829500</v>
      </c>
      <c r="F15" s="8"/>
      <c r="G15" s="8">
        <f t="shared" si="0"/>
        <v>16723157.059999999</v>
      </c>
      <c r="I15" s="10" t="s">
        <v>37</v>
      </c>
      <c r="J15" s="10">
        <f t="shared" si="1"/>
        <v>1</v>
      </c>
    </row>
    <row r="16" spans="1:10" x14ac:dyDescent="0.35">
      <c r="A16" s="11">
        <v>45666</v>
      </c>
      <c r="B16" s="11">
        <v>45666</v>
      </c>
      <c r="C16" t="s">
        <v>38</v>
      </c>
      <c r="D16" t="s">
        <v>39</v>
      </c>
      <c r="E16" s="8"/>
      <c r="F16" s="9">
        <v>2420906.98</v>
      </c>
      <c r="G16" s="8">
        <f t="shared" si="0"/>
        <v>19144064.039999999</v>
      </c>
      <c r="I16" s="10" t="s">
        <v>40</v>
      </c>
      <c r="J16" s="10">
        <f t="shared" si="1"/>
        <v>1</v>
      </c>
    </row>
    <row r="17" spans="1:10" x14ac:dyDescent="0.35">
      <c r="A17" s="11">
        <v>45666</v>
      </c>
      <c r="B17" s="11">
        <v>45666</v>
      </c>
      <c r="C17" t="s">
        <v>41</v>
      </c>
      <c r="D17" t="s">
        <v>17</v>
      </c>
      <c r="E17" s="9">
        <v>50</v>
      </c>
      <c r="F17" s="8"/>
      <c r="G17" s="8">
        <f t="shared" si="0"/>
        <v>19144014.039999999</v>
      </c>
      <c r="I17" s="10" t="s">
        <v>18</v>
      </c>
      <c r="J17" s="10">
        <f t="shared" si="1"/>
        <v>1</v>
      </c>
    </row>
    <row r="18" spans="1:10" x14ac:dyDescent="0.35">
      <c r="A18" s="11">
        <v>45667</v>
      </c>
      <c r="B18" s="11">
        <v>45667</v>
      </c>
      <c r="C18" t="s">
        <v>42</v>
      </c>
      <c r="D18" t="s">
        <v>43</v>
      </c>
      <c r="E18" s="9">
        <v>1898500</v>
      </c>
      <c r="F18" s="8"/>
      <c r="G18" s="8">
        <f t="shared" si="0"/>
        <v>17245514.039999999</v>
      </c>
      <c r="I18" s="10" t="s">
        <v>37</v>
      </c>
      <c r="J18" s="10">
        <f t="shared" si="1"/>
        <v>1</v>
      </c>
    </row>
    <row r="19" spans="1:10" x14ac:dyDescent="0.35">
      <c r="A19" s="11">
        <v>45667</v>
      </c>
      <c r="B19" s="11">
        <v>45667</v>
      </c>
      <c r="C19" t="s">
        <v>44</v>
      </c>
      <c r="D19" t="s">
        <v>45</v>
      </c>
      <c r="E19" s="9">
        <v>520000</v>
      </c>
      <c r="F19" s="8"/>
      <c r="G19" s="8">
        <f t="shared" si="0"/>
        <v>16725514.039999999</v>
      </c>
      <c r="I19" s="10" t="s">
        <v>46</v>
      </c>
      <c r="J19" s="10">
        <f t="shared" si="1"/>
        <v>1</v>
      </c>
    </row>
    <row r="20" spans="1:10" x14ac:dyDescent="0.35">
      <c r="A20" s="11">
        <v>45667</v>
      </c>
      <c r="B20" s="11">
        <v>45667</v>
      </c>
      <c r="C20" t="s">
        <v>47</v>
      </c>
      <c r="D20" t="s">
        <v>48</v>
      </c>
      <c r="E20" s="9">
        <v>680000</v>
      </c>
      <c r="F20" s="8"/>
      <c r="G20" s="8">
        <f t="shared" si="0"/>
        <v>16045514.039999999</v>
      </c>
      <c r="I20" s="10" t="s">
        <v>49</v>
      </c>
      <c r="J20" s="10">
        <f t="shared" si="1"/>
        <v>1</v>
      </c>
    </row>
    <row r="21" spans="1:10" x14ac:dyDescent="0.35">
      <c r="A21" s="11">
        <v>45670</v>
      </c>
      <c r="B21" s="11">
        <v>45670</v>
      </c>
      <c r="C21" t="s">
        <v>50</v>
      </c>
      <c r="D21" t="s">
        <v>51</v>
      </c>
      <c r="E21" s="8"/>
      <c r="F21" s="9">
        <v>2897000</v>
      </c>
      <c r="G21" s="8">
        <f t="shared" si="0"/>
        <v>18942514.039999999</v>
      </c>
      <c r="I21" s="10" t="s">
        <v>15</v>
      </c>
      <c r="J21" s="10">
        <f t="shared" si="1"/>
        <v>1</v>
      </c>
    </row>
    <row r="22" spans="1:10" x14ac:dyDescent="0.35">
      <c r="A22" s="11">
        <v>45670</v>
      </c>
      <c r="B22" s="11">
        <v>45670</v>
      </c>
      <c r="C22" t="s">
        <v>52</v>
      </c>
      <c r="D22" t="s">
        <v>17</v>
      </c>
      <c r="E22" s="9">
        <v>50</v>
      </c>
      <c r="F22" s="8"/>
      <c r="G22" s="8">
        <f t="shared" si="0"/>
        <v>18942464.039999999</v>
      </c>
      <c r="I22" s="10" t="s">
        <v>18</v>
      </c>
      <c r="J22" s="10">
        <f t="shared" si="1"/>
        <v>1</v>
      </c>
    </row>
    <row r="23" spans="1:10" x14ac:dyDescent="0.35">
      <c r="A23" s="11">
        <v>45670</v>
      </c>
      <c r="B23" s="11">
        <v>45670</v>
      </c>
      <c r="C23" t="s">
        <v>53</v>
      </c>
      <c r="D23" t="s">
        <v>54</v>
      </c>
      <c r="E23" s="8"/>
      <c r="F23" s="9">
        <v>2549000</v>
      </c>
      <c r="G23" s="8">
        <f t="shared" si="0"/>
        <v>21491464.039999999</v>
      </c>
      <c r="I23" s="10" t="s">
        <v>15</v>
      </c>
      <c r="J23" s="10">
        <f t="shared" si="1"/>
        <v>1</v>
      </c>
    </row>
    <row r="24" spans="1:10" x14ac:dyDescent="0.35">
      <c r="A24" s="11">
        <v>45670</v>
      </c>
      <c r="B24" s="11">
        <v>45670</v>
      </c>
      <c r="C24" t="s">
        <v>55</v>
      </c>
      <c r="D24" t="s">
        <v>17</v>
      </c>
      <c r="E24" s="9">
        <v>50</v>
      </c>
      <c r="F24" s="8"/>
      <c r="G24" s="8">
        <f t="shared" si="0"/>
        <v>21491414.039999999</v>
      </c>
      <c r="I24" s="10" t="s">
        <v>18</v>
      </c>
      <c r="J24" s="10">
        <f t="shared" si="1"/>
        <v>1</v>
      </c>
    </row>
    <row r="25" spans="1:10" x14ac:dyDescent="0.35">
      <c r="A25" s="11">
        <v>45670</v>
      </c>
      <c r="B25" s="11">
        <v>45670</v>
      </c>
      <c r="C25" t="s">
        <v>56</v>
      </c>
      <c r="D25" t="s">
        <v>57</v>
      </c>
      <c r="E25" s="8"/>
      <c r="F25" s="9">
        <v>1228487.72</v>
      </c>
      <c r="G25" s="8">
        <f t="shared" si="0"/>
        <v>22719901.759999998</v>
      </c>
      <c r="I25" s="10" t="s">
        <v>27</v>
      </c>
      <c r="J25" s="10">
        <f t="shared" si="1"/>
        <v>1</v>
      </c>
    </row>
    <row r="26" spans="1:10" x14ac:dyDescent="0.35">
      <c r="A26" s="11">
        <v>45670</v>
      </c>
      <c r="B26" s="11">
        <v>45670</v>
      </c>
      <c r="C26" t="s">
        <v>58</v>
      </c>
      <c r="D26" t="s">
        <v>17</v>
      </c>
      <c r="E26" s="9">
        <v>50</v>
      </c>
      <c r="F26" s="8"/>
      <c r="G26" s="8">
        <f t="shared" si="0"/>
        <v>22719851.759999998</v>
      </c>
      <c r="I26" s="10" t="s">
        <v>18</v>
      </c>
      <c r="J26" s="10">
        <f t="shared" si="1"/>
        <v>1</v>
      </c>
    </row>
    <row r="27" spans="1:10" x14ac:dyDescent="0.35">
      <c r="A27" s="11">
        <v>45670</v>
      </c>
      <c r="B27" s="11">
        <v>45670</v>
      </c>
      <c r="C27" t="s">
        <v>59</v>
      </c>
      <c r="D27" t="s">
        <v>60</v>
      </c>
      <c r="E27" s="9">
        <v>2002000</v>
      </c>
      <c r="F27" s="8"/>
      <c r="G27" s="8">
        <f t="shared" si="0"/>
        <v>20717851.759999998</v>
      </c>
      <c r="I27" s="10" t="s">
        <v>37</v>
      </c>
      <c r="J27" s="10">
        <f t="shared" si="1"/>
        <v>1</v>
      </c>
    </row>
    <row r="28" spans="1:10" x14ac:dyDescent="0.35">
      <c r="A28" s="11">
        <v>45670</v>
      </c>
      <c r="B28" s="11">
        <v>45670</v>
      </c>
      <c r="C28" t="s">
        <v>61</v>
      </c>
      <c r="D28" t="s">
        <v>62</v>
      </c>
      <c r="E28" s="9">
        <v>1252000</v>
      </c>
      <c r="F28" s="8"/>
      <c r="G28" s="8">
        <f t="shared" si="0"/>
        <v>19465851.759999998</v>
      </c>
      <c r="I28" s="10" t="s">
        <v>63</v>
      </c>
      <c r="J28" s="10">
        <f t="shared" si="1"/>
        <v>1</v>
      </c>
    </row>
    <row r="29" spans="1:10" x14ac:dyDescent="0.35">
      <c r="A29" s="11">
        <v>45670</v>
      </c>
      <c r="B29" s="11">
        <v>45670</v>
      </c>
      <c r="C29" t="s">
        <v>64</v>
      </c>
      <c r="D29" t="s">
        <v>65</v>
      </c>
      <c r="E29" s="9">
        <v>915000</v>
      </c>
      <c r="F29" s="8"/>
      <c r="G29" s="8">
        <f t="shared" si="0"/>
        <v>18550851.759999998</v>
      </c>
      <c r="I29" s="10" t="s">
        <v>31</v>
      </c>
      <c r="J29" s="10">
        <f t="shared" si="1"/>
        <v>1</v>
      </c>
    </row>
    <row r="30" spans="1:10" x14ac:dyDescent="0.35">
      <c r="A30" s="11">
        <v>45672</v>
      </c>
      <c r="B30" s="11">
        <v>45672</v>
      </c>
      <c r="C30" t="s">
        <v>66</v>
      </c>
      <c r="D30" t="s">
        <v>67</v>
      </c>
      <c r="E30" s="8"/>
      <c r="F30" s="9">
        <v>943125</v>
      </c>
      <c r="G30" s="8">
        <f t="shared" si="0"/>
        <v>19493976.759999998</v>
      </c>
      <c r="I30" s="10" t="s">
        <v>15</v>
      </c>
      <c r="J30" s="10">
        <f t="shared" si="1"/>
        <v>1</v>
      </c>
    </row>
    <row r="31" spans="1:10" x14ac:dyDescent="0.35">
      <c r="A31" s="11">
        <v>45672</v>
      </c>
      <c r="B31" s="11">
        <v>45672</v>
      </c>
      <c r="C31" t="s">
        <v>68</v>
      </c>
      <c r="D31" t="s">
        <v>17</v>
      </c>
      <c r="E31" s="9">
        <v>50</v>
      </c>
      <c r="F31" s="8"/>
      <c r="G31" s="8">
        <f t="shared" si="0"/>
        <v>19493926.759999998</v>
      </c>
      <c r="I31" s="10" t="s">
        <v>18</v>
      </c>
      <c r="J31" s="10">
        <f t="shared" si="1"/>
        <v>1</v>
      </c>
    </row>
    <row r="32" spans="1:10" x14ac:dyDescent="0.35">
      <c r="A32" s="11">
        <v>45672</v>
      </c>
      <c r="B32" s="11">
        <v>45672</v>
      </c>
      <c r="C32" t="s">
        <v>69</v>
      </c>
      <c r="D32" t="s">
        <v>70</v>
      </c>
      <c r="E32" s="9">
        <v>55600</v>
      </c>
      <c r="F32" s="8"/>
      <c r="G32" s="8">
        <f t="shared" si="0"/>
        <v>19438326.759999998</v>
      </c>
      <c r="I32" s="10" t="s">
        <v>71</v>
      </c>
      <c r="J32" s="10">
        <f t="shared" si="1"/>
        <v>1</v>
      </c>
    </row>
    <row r="33" spans="1:10" x14ac:dyDescent="0.35">
      <c r="A33" s="11">
        <v>45672</v>
      </c>
      <c r="B33" s="11">
        <v>45672</v>
      </c>
      <c r="C33" t="s">
        <v>72</v>
      </c>
      <c r="D33" t="s">
        <v>73</v>
      </c>
      <c r="E33" s="9">
        <v>2460000</v>
      </c>
      <c r="F33" s="8"/>
      <c r="G33" s="8">
        <f t="shared" si="0"/>
        <v>16978326.759999998</v>
      </c>
      <c r="I33" s="10" t="s">
        <v>74</v>
      </c>
      <c r="J33" s="10">
        <f t="shared" si="1"/>
        <v>1</v>
      </c>
    </row>
    <row r="34" spans="1:10" x14ac:dyDescent="0.35">
      <c r="A34" s="11">
        <v>45674</v>
      </c>
      <c r="B34" s="11">
        <v>45674</v>
      </c>
      <c r="C34" t="s">
        <v>75</v>
      </c>
      <c r="D34" t="s">
        <v>76</v>
      </c>
      <c r="E34" s="9">
        <v>1302000</v>
      </c>
      <c r="F34" s="8"/>
      <c r="G34" s="8">
        <f t="shared" si="0"/>
        <v>15676326.759999998</v>
      </c>
      <c r="I34" s="10" t="s">
        <v>77</v>
      </c>
      <c r="J34" s="10">
        <f t="shared" si="1"/>
        <v>1</v>
      </c>
    </row>
    <row r="35" spans="1:10" x14ac:dyDescent="0.35">
      <c r="A35" s="11">
        <v>45677</v>
      </c>
      <c r="B35" s="11">
        <v>45677</v>
      </c>
      <c r="C35" t="s">
        <v>78</v>
      </c>
      <c r="D35" t="s">
        <v>79</v>
      </c>
      <c r="E35" s="8"/>
      <c r="F35" s="9">
        <v>2224250</v>
      </c>
      <c r="G35" s="8">
        <f t="shared" si="0"/>
        <v>17900576.759999998</v>
      </c>
      <c r="I35" s="10" t="s">
        <v>15</v>
      </c>
      <c r="J35" s="10">
        <f t="shared" si="1"/>
        <v>1</v>
      </c>
    </row>
    <row r="36" spans="1:10" x14ac:dyDescent="0.35">
      <c r="A36" s="11">
        <v>45677</v>
      </c>
      <c r="B36" s="11">
        <v>45677</v>
      </c>
      <c r="C36" t="s">
        <v>80</v>
      </c>
      <c r="D36" t="s">
        <v>17</v>
      </c>
      <c r="E36" s="9">
        <v>50</v>
      </c>
      <c r="F36" s="8"/>
      <c r="G36" s="8">
        <f t="shared" si="0"/>
        <v>17900526.759999998</v>
      </c>
      <c r="I36" s="10" t="s">
        <v>18</v>
      </c>
      <c r="J36" s="10">
        <f t="shared" si="1"/>
        <v>1</v>
      </c>
    </row>
    <row r="37" spans="1:10" x14ac:dyDescent="0.35">
      <c r="A37" s="11">
        <v>45677</v>
      </c>
      <c r="B37" s="11">
        <v>45677</v>
      </c>
      <c r="C37" t="s">
        <v>81</v>
      </c>
      <c r="D37" t="s">
        <v>82</v>
      </c>
      <c r="E37" s="8"/>
      <c r="F37" s="9">
        <v>1542901.05</v>
      </c>
      <c r="G37" s="8">
        <f t="shared" si="0"/>
        <v>19443427.809999999</v>
      </c>
      <c r="I37" s="10" t="s">
        <v>27</v>
      </c>
      <c r="J37" s="10">
        <f t="shared" si="1"/>
        <v>1</v>
      </c>
    </row>
    <row r="38" spans="1:10" x14ac:dyDescent="0.35">
      <c r="A38" s="11">
        <v>45677</v>
      </c>
      <c r="B38" s="11">
        <v>45677</v>
      </c>
      <c r="C38" t="s">
        <v>83</v>
      </c>
      <c r="D38" t="s">
        <v>17</v>
      </c>
      <c r="E38" s="9">
        <v>50</v>
      </c>
      <c r="F38" s="8"/>
      <c r="G38" s="8">
        <f t="shared" si="0"/>
        <v>19443377.809999999</v>
      </c>
      <c r="I38" s="10" t="s">
        <v>18</v>
      </c>
      <c r="J38" s="10">
        <f t="shared" si="1"/>
        <v>1</v>
      </c>
    </row>
    <row r="39" spans="1:10" x14ac:dyDescent="0.35">
      <c r="A39" s="11">
        <v>45678</v>
      </c>
      <c r="B39" s="11">
        <v>45678</v>
      </c>
      <c r="C39" t="s">
        <v>84</v>
      </c>
      <c r="D39" t="s">
        <v>85</v>
      </c>
      <c r="E39" s="9">
        <v>1400000</v>
      </c>
      <c r="F39" s="8"/>
      <c r="G39" s="8">
        <f t="shared" si="0"/>
        <v>18043377.809999999</v>
      </c>
      <c r="I39" s="10" t="s">
        <v>86</v>
      </c>
      <c r="J39" s="10">
        <f t="shared" si="1"/>
        <v>1</v>
      </c>
    </row>
    <row r="40" spans="1:10" x14ac:dyDescent="0.35">
      <c r="A40" s="11">
        <v>45680</v>
      </c>
      <c r="B40" s="11">
        <v>45680</v>
      </c>
      <c r="C40" t="s">
        <v>87</v>
      </c>
      <c r="D40" t="s">
        <v>88</v>
      </c>
      <c r="E40" s="9">
        <v>1777500</v>
      </c>
      <c r="F40" s="8"/>
      <c r="G40" s="8">
        <f t="shared" si="0"/>
        <v>16265877.809999999</v>
      </c>
      <c r="I40" s="10" t="s">
        <v>37</v>
      </c>
      <c r="J40" s="10">
        <f t="shared" si="1"/>
        <v>1</v>
      </c>
    </row>
    <row r="41" spans="1:10" x14ac:dyDescent="0.35">
      <c r="A41" s="11">
        <v>45681</v>
      </c>
      <c r="B41" s="11">
        <v>45681</v>
      </c>
      <c r="C41" t="s">
        <v>89</v>
      </c>
      <c r="D41" t="s">
        <v>90</v>
      </c>
      <c r="E41" s="8"/>
      <c r="F41" s="9">
        <v>3843250</v>
      </c>
      <c r="G41" s="8">
        <f t="shared" si="0"/>
        <v>20109127.809999999</v>
      </c>
      <c r="I41" s="10" t="s">
        <v>15</v>
      </c>
      <c r="J41" s="10">
        <f t="shared" si="1"/>
        <v>1</v>
      </c>
    </row>
    <row r="42" spans="1:10" x14ac:dyDescent="0.35">
      <c r="A42" s="11">
        <v>45681</v>
      </c>
      <c r="B42" s="11">
        <v>45681</v>
      </c>
      <c r="C42" t="s">
        <v>91</v>
      </c>
      <c r="D42" t="s">
        <v>17</v>
      </c>
      <c r="E42" s="9">
        <v>50</v>
      </c>
      <c r="F42" s="8"/>
      <c r="G42" s="8">
        <f t="shared" si="0"/>
        <v>20109077.809999999</v>
      </c>
      <c r="I42" s="10" t="s">
        <v>18</v>
      </c>
      <c r="J42" s="10">
        <f t="shared" si="1"/>
        <v>1</v>
      </c>
    </row>
    <row r="43" spans="1:10" x14ac:dyDescent="0.35">
      <c r="A43" s="11">
        <v>45681</v>
      </c>
      <c r="B43" s="11">
        <v>45681</v>
      </c>
      <c r="C43" t="s">
        <v>92</v>
      </c>
      <c r="D43" t="s">
        <v>62</v>
      </c>
      <c r="E43" s="9">
        <v>792000</v>
      </c>
      <c r="F43" s="8"/>
      <c r="G43" s="8">
        <f t="shared" si="0"/>
        <v>19317077.809999999</v>
      </c>
      <c r="I43" s="10" t="s">
        <v>63</v>
      </c>
      <c r="J43" s="10">
        <f t="shared" si="1"/>
        <v>1</v>
      </c>
    </row>
    <row r="44" spans="1:10" x14ac:dyDescent="0.35">
      <c r="A44" s="11">
        <v>45684</v>
      </c>
      <c r="B44" s="11">
        <v>45684</v>
      </c>
      <c r="C44" t="s">
        <v>93</v>
      </c>
      <c r="D44" t="s">
        <v>94</v>
      </c>
      <c r="E44" s="8"/>
      <c r="F44" s="9">
        <v>1282875</v>
      </c>
      <c r="G44" s="8">
        <f t="shared" si="0"/>
        <v>20599952.809999999</v>
      </c>
      <c r="I44" s="10" t="s">
        <v>15</v>
      </c>
      <c r="J44" s="10">
        <f t="shared" si="1"/>
        <v>1</v>
      </c>
    </row>
    <row r="45" spans="1:10" x14ac:dyDescent="0.35">
      <c r="A45" s="11">
        <v>45684</v>
      </c>
      <c r="B45" s="11">
        <v>45684</v>
      </c>
      <c r="C45" t="s">
        <v>95</v>
      </c>
      <c r="D45" t="s">
        <v>17</v>
      </c>
      <c r="E45" s="9">
        <v>50</v>
      </c>
      <c r="F45" s="8"/>
      <c r="G45" s="8">
        <f t="shared" si="0"/>
        <v>20599902.809999999</v>
      </c>
      <c r="I45" s="10" t="s">
        <v>18</v>
      </c>
      <c r="J45" s="10">
        <f t="shared" si="1"/>
        <v>1</v>
      </c>
    </row>
    <row r="46" spans="1:10" x14ac:dyDescent="0.35">
      <c r="A46" s="11">
        <v>45684</v>
      </c>
      <c r="B46" s="11">
        <v>45684</v>
      </c>
      <c r="C46" t="s">
        <v>96</v>
      </c>
      <c r="D46" t="s">
        <v>97</v>
      </c>
      <c r="E46" s="8"/>
      <c r="F46" s="9">
        <v>954348.68</v>
      </c>
      <c r="G46" s="8">
        <f t="shared" si="0"/>
        <v>21554251.489999998</v>
      </c>
      <c r="I46" s="10" t="s">
        <v>27</v>
      </c>
      <c r="J46" s="10">
        <f t="shared" si="1"/>
        <v>1</v>
      </c>
    </row>
    <row r="47" spans="1:10" x14ac:dyDescent="0.35">
      <c r="A47" s="11">
        <v>45684</v>
      </c>
      <c r="B47" s="11">
        <v>45684</v>
      </c>
      <c r="C47" t="s">
        <v>98</v>
      </c>
      <c r="D47" t="s">
        <v>17</v>
      </c>
      <c r="E47" s="9">
        <v>50</v>
      </c>
      <c r="F47" s="8"/>
      <c r="G47" s="8">
        <f t="shared" si="0"/>
        <v>21554201.489999998</v>
      </c>
      <c r="I47" s="10" t="s">
        <v>18</v>
      </c>
      <c r="J47" s="10">
        <f t="shared" si="1"/>
        <v>1</v>
      </c>
    </row>
    <row r="48" spans="1:10" x14ac:dyDescent="0.35">
      <c r="A48" s="11">
        <v>45684</v>
      </c>
      <c r="B48" s="11">
        <v>45684</v>
      </c>
      <c r="C48" t="s">
        <v>99</v>
      </c>
      <c r="D48" t="s">
        <v>100</v>
      </c>
      <c r="E48" s="9">
        <v>216000</v>
      </c>
      <c r="F48" s="8"/>
      <c r="G48" s="8">
        <f t="shared" si="0"/>
        <v>21338201.489999998</v>
      </c>
      <c r="I48" s="10" t="s">
        <v>101</v>
      </c>
      <c r="J48" s="10">
        <f t="shared" si="1"/>
        <v>1</v>
      </c>
    </row>
    <row r="49" spans="1:10" x14ac:dyDescent="0.35">
      <c r="A49" s="11">
        <v>45685</v>
      </c>
      <c r="B49" s="11">
        <v>45685</v>
      </c>
      <c r="C49" t="s">
        <v>102</v>
      </c>
      <c r="D49" t="s">
        <v>103</v>
      </c>
      <c r="E49" s="8"/>
      <c r="F49" s="9">
        <v>1282875</v>
      </c>
      <c r="G49" s="8">
        <f t="shared" si="0"/>
        <v>22621076.489999998</v>
      </c>
      <c r="I49" s="10" t="s">
        <v>15</v>
      </c>
      <c r="J49" s="10">
        <f t="shared" si="1"/>
        <v>1</v>
      </c>
    </row>
    <row r="50" spans="1:10" x14ac:dyDescent="0.35">
      <c r="A50" s="11">
        <v>45685</v>
      </c>
      <c r="B50" s="11">
        <v>45685</v>
      </c>
      <c r="C50" t="s">
        <v>104</v>
      </c>
      <c r="D50" t="s">
        <v>17</v>
      </c>
      <c r="E50" s="9">
        <v>50</v>
      </c>
      <c r="F50" s="8"/>
      <c r="G50" s="8">
        <f t="shared" si="0"/>
        <v>22621026.489999998</v>
      </c>
      <c r="I50" s="10" t="s">
        <v>18</v>
      </c>
      <c r="J50" s="10">
        <f t="shared" si="1"/>
        <v>1</v>
      </c>
    </row>
    <row r="51" spans="1:10" x14ac:dyDescent="0.35">
      <c r="A51" s="11">
        <v>45685</v>
      </c>
      <c r="B51" s="11">
        <v>45685</v>
      </c>
      <c r="C51" t="s">
        <v>105</v>
      </c>
      <c r="D51" t="s">
        <v>106</v>
      </c>
      <c r="E51" s="9">
        <v>4180000</v>
      </c>
      <c r="F51" s="8"/>
      <c r="G51" s="8">
        <f t="shared" si="0"/>
        <v>18441026.489999998</v>
      </c>
      <c r="I51" s="10" t="s">
        <v>107</v>
      </c>
      <c r="J51" s="10">
        <f t="shared" si="1"/>
        <v>1</v>
      </c>
    </row>
    <row r="52" spans="1:10" x14ac:dyDescent="0.35">
      <c r="A52" s="11">
        <v>45688</v>
      </c>
      <c r="B52" s="11">
        <v>45688</v>
      </c>
      <c r="C52" t="s">
        <v>108</v>
      </c>
      <c r="D52" t="s">
        <v>109</v>
      </c>
      <c r="E52" s="8"/>
      <c r="F52" s="9">
        <v>5000000</v>
      </c>
      <c r="G52" s="8">
        <f t="shared" si="0"/>
        <v>23441026.489999998</v>
      </c>
      <c r="I52" s="10" t="s">
        <v>110</v>
      </c>
      <c r="J52" s="10">
        <f t="shared" si="1"/>
        <v>1</v>
      </c>
    </row>
    <row r="53" spans="1:10" x14ac:dyDescent="0.35">
      <c r="A53" s="11">
        <v>45688</v>
      </c>
      <c r="B53" s="11">
        <v>45688</v>
      </c>
      <c r="C53" t="s">
        <v>111</v>
      </c>
      <c r="D53" t="s">
        <v>17</v>
      </c>
      <c r="E53" s="9">
        <v>50</v>
      </c>
      <c r="F53" s="8"/>
      <c r="G53" s="8">
        <f t="shared" si="0"/>
        <v>23440976.489999998</v>
      </c>
      <c r="I53" s="10" t="s">
        <v>18</v>
      </c>
      <c r="J53" s="10">
        <f t="shared" si="1"/>
        <v>1</v>
      </c>
    </row>
    <row r="54" spans="1:10" x14ac:dyDescent="0.35">
      <c r="A54" s="11">
        <v>45688</v>
      </c>
      <c r="B54" s="11">
        <v>45688</v>
      </c>
      <c r="C54" t="s">
        <v>112</v>
      </c>
      <c r="D54" t="s">
        <v>113</v>
      </c>
      <c r="E54" s="9">
        <v>9017.7900000000009</v>
      </c>
      <c r="F54" s="8"/>
      <c r="G54" s="8">
        <f t="shared" si="0"/>
        <v>23431958.699999999</v>
      </c>
      <c r="I54" s="10" t="s">
        <v>114</v>
      </c>
      <c r="J54" s="10">
        <f t="shared" si="1"/>
        <v>1</v>
      </c>
    </row>
    <row r="55" spans="1:10" x14ac:dyDescent="0.35">
      <c r="A55" s="11">
        <v>45688</v>
      </c>
      <c r="B55" s="11">
        <v>45688</v>
      </c>
      <c r="C55" t="s">
        <v>115</v>
      </c>
      <c r="D55" t="s">
        <v>116</v>
      </c>
      <c r="E55" s="9">
        <v>1650</v>
      </c>
      <c r="F55" s="8"/>
      <c r="G55" s="8">
        <f t="shared" si="0"/>
        <v>23430308.699999999</v>
      </c>
      <c r="I55" s="10" t="s">
        <v>117</v>
      </c>
      <c r="J55" s="10">
        <f t="shared" si="1"/>
        <v>1</v>
      </c>
    </row>
    <row r="56" spans="1:10" x14ac:dyDescent="0.35">
      <c r="A56" s="11">
        <v>45688</v>
      </c>
      <c r="B56" s="11">
        <v>45688</v>
      </c>
      <c r="C56" t="s">
        <v>118</v>
      </c>
      <c r="D56" t="s">
        <v>119</v>
      </c>
      <c r="E56" s="9">
        <v>132</v>
      </c>
      <c r="F56" s="8"/>
      <c r="G56" s="8">
        <f t="shared" si="0"/>
        <v>23430176.699999999</v>
      </c>
      <c r="I56" s="10" t="s">
        <v>120</v>
      </c>
      <c r="J56" s="10">
        <f t="shared" si="1"/>
        <v>1</v>
      </c>
    </row>
    <row r="57" spans="1:10" x14ac:dyDescent="0.35">
      <c r="A57" s="11">
        <v>45688</v>
      </c>
      <c r="B57" s="11">
        <v>45688</v>
      </c>
      <c r="C57" t="s">
        <v>121</v>
      </c>
      <c r="D57" t="s">
        <v>122</v>
      </c>
      <c r="E57" s="9">
        <v>133.65</v>
      </c>
      <c r="F57" s="8"/>
      <c r="G57" s="8">
        <f t="shared" si="0"/>
        <v>23430043.050000001</v>
      </c>
      <c r="I57" s="10" t="s">
        <v>123</v>
      </c>
      <c r="J57" s="10">
        <f t="shared" si="1"/>
        <v>1</v>
      </c>
    </row>
    <row r="58" spans="1:10" x14ac:dyDescent="0.35">
      <c r="A58" s="11">
        <v>45691</v>
      </c>
      <c r="B58" s="11">
        <v>45691</v>
      </c>
      <c r="C58" t="s">
        <v>124</v>
      </c>
      <c r="D58" t="s">
        <v>20</v>
      </c>
      <c r="E58" s="9">
        <v>149100</v>
      </c>
      <c r="F58" s="8"/>
      <c r="G58" s="8">
        <f t="shared" si="0"/>
        <v>23280943.050000001</v>
      </c>
      <c r="I58" s="10" t="s">
        <v>21</v>
      </c>
      <c r="J58" s="10">
        <f t="shared" si="1"/>
        <v>2</v>
      </c>
    </row>
    <row r="59" spans="1:10" x14ac:dyDescent="0.35">
      <c r="A59" s="11">
        <v>45693</v>
      </c>
      <c r="B59" s="11">
        <v>45693</v>
      </c>
      <c r="C59" t="s">
        <v>125</v>
      </c>
      <c r="D59" t="s">
        <v>30</v>
      </c>
      <c r="E59" s="9">
        <v>478000</v>
      </c>
      <c r="F59" s="8"/>
      <c r="G59" s="8">
        <f t="shared" si="0"/>
        <v>22802943.050000001</v>
      </c>
      <c r="I59" s="10" t="s">
        <v>31</v>
      </c>
      <c r="J59" s="10">
        <f t="shared" si="1"/>
        <v>2</v>
      </c>
    </row>
    <row r="60" spans="1:10" x14ac:dyDescent="0.35">
      <c r="A60" s="11">
        <v>45694</v>
      </c>
      <c r="B60" s="11">
        <v>45694</v>
      </c>
      <c r="C60" t="s">
        <v>126</v>
      </c>
      <c r="D60" t="s">
        <v>127</v>
      </c>
      <c r="E60" s="8"/>
      <c r="F60" s="9">
        <v>1177969.32</v>
      </c>
      <c r="G60" s="8">
        <f t="shared" si="0"/>
        <v>23980912.370000001</v>
      </c>
      <c r="I60" s="10" t="s">
        <v>27</v>
      </c>
      <c r="J60" s="10">
        <f t="shared" si="1"/>
        <v>2</v>
      </c>
    </row>
    <row r="61" spans="1:10" x14ac:dyDescent="0.35">
      <c r="A61" s="11">
        <v>45694</v>
      </c>
      <c r="B61" s="11">
        <v>45694</v>
      </c>
      <c r="C61" t="s">
        <v>128</v>
      </c>
      <c r="D61" t="s">
        <v>17</v>
      </c>
      <c r="E61" s="9">
        <v>50</v>
      </c>
      <c r="F61" s="8"/>
      <c r="G61" s="8">
        <f t="shared" si="0"/>
        <v>23980862.370000001</v>
      </c>
      <c r="I61" s="10" t="s">
        <v>18</v>
      </c>
      <c r="J61" s="10">
        <f t="shared" si="1"/>
        <v>2</v>
      </c>
    </row>
    <row r="62" spans="1:10" x14ac:dyDescent="0.35">
      <c r="A62" s="11">
        <v>45698</v>
      </c>
      <c r="B62" s="11">
        <v>45698</v>
      </c>
      <c r="C62" t="s">
        <v>129</v>
      </c>
      <c r="D62" t="s">
        <v>45</v>
      </c>
      <c r="E62" s="9">
        <v>520000</v>
      </c>
      <c r="F62" s="8"/>
      <c r="G62" s="8">
        <f t="shared" si="0"/>
        <v>23460862.370000001</v>
      </c>
      <c r="I62" s="10" t="s">
        <v>46</v>
      </c>
      <c r="J62" s="10">
        <f t="shared" si="1"/>
        <v>2</v>
      </c>
    </row>
    <row r="63" spans="1:10" x14ac:dyDescent="0.35">
      <c r="A63" s="11">
        <v>45698</v>
      </c>
      <c r="B63" s="11">
        <v>45698</v>
      </c>
      <c r="C63" t="s">
        <v>130</v>
      </c>
      <c r="D63" t="s">
        <v>48</v>
      </c>
      <c r="E63" s="9">
        <v>680000</v>
      </c>
      <c r="F63" s="8"/>
      <c r="G63" s="8">
        <f t="shared" si="0"/>
        <v>22780862.370000001</v>
      </c>
      <c r="I63" s="10" t="s">
        <v>49</v>
      </c>
      <c r="J63" s="10">
        <f t="shared" si="1"/>
        <v>2</v>
      </c>
    </row>
    <row r="64" spans="1:10" x14ac:dyDescent="0.35">
      <c r="A64" s="11">
        <v>45698</v>
      </c>
      <c r="B64" s="11">
        <v>45698</v>
      </c>
      <c r="C64" t="s">
        <v>131</v>
      </c>
      <c r="D64" t="s">
        <v>132</v>
      </c>
      <c r="E64" s="8"/>
      <c r="F64" s="9">
        <v>12000000</v>
      </c>
      <c r="G64" s="8">
        <f t="shared" si="0"/>
        <v>34780862.370000005</v>
      </c>
      <c r="I64" s="10" t="s">
        <v>133</v>
      </c>
      <c r="J64" s="10">
        <f t="shared" si="1"/>
        <v>2</v>
      </c>
    </row>
    <row r="65" spans="1:10" x14ac:dyDescent="0.35">
      <c r="A65" s="11">
        <v>45698</v>
      </c>
      <c r="B65" s="11">
        <v>45698</v>
      </c>
      <c r="C65" t="s">
        <v>134</v>
      </c>
      <c r="D65" t="s">
        <v>17</v>
      </c>
      <c r="E65" s="9">
        <v>50</v>
      </c>
      <c r="F65" s="8"/>
      <c r="G65" s="8">
        <f t="shared" si="0"/>
        <v>34780812.370000005</v>
      </c>
      <c r="I65" s="10" t="s">
        <v>18</v>
      </c>
      <c r="J65" s="10">
        <f t="shared" si="1"/>
        <v>2</v>
      </c>
    </row>
    <row r="66" spans="1:10" x14ac:dyDescent="0.35">
      <c r="A66" s="11">
        <v>45700</v>
      </c>
      <c r="B66" s="11">
        <v>45700</v>
      </c>
      <c r="C66" t="s">
        <v>135</v>
      </c>
      <c r="D66" t="s">
        <v>65</v>
      </c>
      <c r="E66" s="9">
        <v>932000</v>
      </c>
      <c r="F66" s="8"/>
      <c r="G66" s="8">
        <f t="shared" si="0"/>
        <v>33848812.370000005</v>
      </c>
      <c r="I66" s="10" t="s">
        <v>31</v>
      </c>
      <c r="J66" s="10">
        <f t="shared" si="1"/>
        <v>2</v>
      </c>
    </row>
    <row r="67" spans="1:10" x14ac:dyDescent="0.35">
      <c r="A67" s="11">
        <v>45701</v>
      </c>
      <c r="B67" s="11">
        <v>45701</v>
      </c>
      <c r="C67" t="s">
        <v>136</v>
      </c>
      <c r="D67" t="s">
        <v>137</v>
      </c>
      <c r="E67" s="8"/>
      <c r="F67" s="9">
        <v>1286887.06</v>
      </c>
      <c r="G67" s="8">
        <f t="shared" si="0"/>
        <v>35135699.430000007</v>
      </c>
      <c r="I67" s="10" t="s">
        <v>27</v>
      </c>
      <c r="J67" s="10">
        <f t="shared" si="1"/>
        <v>2</v>
      </c>
    </row>
    <row r="68" spans="1:10" x14ac:dyDescent="0.35">
      <c r="A68" s="11">
        <v>45701</v>
      </c>
      <c r="B68" s="11">
        <v>45701</v>
      </c>
      <c r="C68" t="s">
        <v>138</v>
      </c>
      <c r="D68" t="s">
        <v>17</v>
      </c>
      <c r="E68" s="9">
        <v>50</v>
      </c>
      <c r="F68" s="8"/>
      <c r="G68" s="8">
        <f t="shared" si="0"/>
        <v>35135649.430000007</v>
      </c>
      <c r="I68" s="10" t="s">
        <v>18</v>
      </c>
      <c r="J68" s="10">
        <f t="shared" si="1"/>
        <v>2</v>
      </c>
    </row>
    <row r="69" spans="1:10" x14ac:dyDescent="0.35">
      <c r="A69" s="11">
        <v>45705</v>
      </c>
      <c r="B69" s="11">
        <v>45705</v>
      </c>
      <c r="C69" t="s">
        <v>139</v>
      </c>
      <c r="D69" t="s">
        <v>70</v>
      </c>
      <c r="E69" s="9">
        <v>74100</v>
      </c>
      <c r="F69" s="8"/>
      <c r="G69" s="8">
        <f t="shared" si="0"/>
        <v>35061549.430000007</v>
      </c>
      <c r="I69" s="10" t="s">
        <v>71</v>
      </c>
      <c r="J69" s="10">
        <f t="shared" si="1"/>
        <v>2</v>
      </c>
    </row>
    <row r="70" spans="1:10" x14ac:dyDescent="0.35">
      <c r="A70" s="11">
        <v>45705</v>
      </c>
      <c r="B70" s="11">
        <v>45705</v>
      </c>
      <c r="C70" t="s">
        <v>140</v>
      </c>
      <c r="D70" t="s">
        <v>141</v>
      </c>
      <c r="E70" s="9">
        <v>321000</v>
      </c>
      <c r="F70" s="8"/>
      <c r="G70" s="8">
        <f t="shared" ref="G70:G133" si="2">G69+F70-E70</f>
        <v>34740549.430000007</v>
      </c>
      <c r="I70" s="10" t="s">
        <v>77</v>
      </c>
      <c r="J70" s="10">
        <f t="shared" ref="J70:J133" si="3">MONTH(A70)</f>
        <v>2</v>
      </c>
    </row>
    <row r="71" spans="1:10" x14ac:dyDescent="0.35">
      <c r="A71" s="11">
        <v>45706</v>
      </c>
      <c r="B71" s="11">
        <v>45706</v>
      </c>
      <c r="C71" t="s">
        <v>142</v>
      </c>
      <c r="D71" t="s">
        <v>62</v>
      </c>
      <c r="E71" s="9">
        <v>1062000</v>
      </c>
      <c r="F71" s="8"/>
      <c r="G71" s="8">
        <f t="shared" si="2"/>
        <v>33678549.430000007</v>
      </c>
      <c r="I71" s="10" t="s">
        <v>63</v>
      </c>
      <c r="J71" s="10">
        <f t="shared" si="3"/>
        <v>2</v>
      </c>
    </row>
    <row r="72" spans="1:10" x14ac:dyDescent="0.35">
      <c r="A72" s="11">
        <v>45706</v>
      </c>
      <c r="B72" s="11">
        <v>45706</v>
      </c>
      <c r="C72" t="s">
        <v>143</v>
      </c>
      <c r="D72" t="s">
        <v>144</v>
      </c>
      <c r="E72" s="9">
        <v>7344000</v>
      </c>
      <c r="F72" s="8"/>
      <c r="G72" s="8">
        <f t="shared" si="2"/>
        <v>26334549.430000007</v>
      </c>
      <c r="I72" s="10" t="s">
        <v>37</v>
      </c>
      <c r="J72" s="10">
        <f t="shared" si="3"/>
        <v>2</v>
      </c>
    </row>
    <row r="73" spans="1:10" x14ac:dyDescent="0.35">
      <c r="A73" s="11">
        <v>45706</v>
      </c>
      <c r="B73" s="11">
        <v>45706</v>
      </c>
      <c r="C73" t="s">
        <v>145</v>
      </c>
      <c r="D73" t="s">
        <v>146</v>
      </c>
      <c r="E73" s="9">
        <v>42500</v>
      </c>
      <c r="F73" s="8"/>
      <c r="G73" s="8">
        <f t="shared" si="2"/>
        <v>26292049.430000007</v>
      </c>
      <c r="I73" s="10" t="s">
        <v>147</v>
      </c>
      <c r="J73" s="10">
        <f t="shared" si="3"/>
        <v>2</v>
      </c>
    </row>
    <row r="74" spans="1:10" x14ac:dyDescent="0.35">
      <c r="A74" s="11">
        <v>45708</v>
      </c>
      <c r="B74" s="11">
        <v>45708</v>
      </c>
      <c r="C74" t="s">
        <v>148</v>
      </c>
      <c r="D74" t="s">
        <v>149</v>
      </c>
      <c r="E74" s="8"/>
      <c r="F74" s="9">
        <v>2683831.4</v>
      </c>
      <c r="G74" s="8">
        <f t="shared" si="2"/>
        <v>28975880.830000006</v>
      </c>
      <c r="I74" s="10" t="s">
        <v>40</v>
      </c>
      <c r="J74" s="10">
        <f t="shared" si="3"/>
        <v>2</v>
      </c>
    </row>
    <row r="75" spans="1:10" x14ac:dyDescent="0.35">
      <c r="A75" s="11">
        <v>45708</v>
      </c>
      <c r="B75" s="11">
        <v>45708</v>
      </c>
      <c r="C75" t="s">
        <v>150</v>
      </c>
      <c r="D75" t="s">
        <v>17</v>
      </c>
      <c r="E75" s="9">
        <v>50</v>
      </c>
      <c r="F75" s="8"/>
      <c r="G75" s="8">
        <f t="shared" si="2"/>
        <v>28975830.830000006</v>
      </c>
      <c r="I75" s="10" t="s">
        <v>18</v>
      </c>
      <c r="J75" s="10">
        <f t="shared" si="3"/>
        <v>2</v>
      </c>
    </row>
    <row r="76" spans="1:10" x14ac:dyDescent="0.35">
      <c r="A76" s="11">
        <v>45708</v>
      </c>
      <c r="B76" s="11">
        <v>45708</v>
      </c>
      <c r="C76" t="s">
        <v>151</v>
      </c>
      <c r="D76" t="s">
        <v>152</v>
      </c>
      <c r="E76" s="8"/>
      <c r="F76" s="9">
        <v>1156652.21</v>
      </c>
      <c r="G76" s="8">
        <f t="shared" si="2"/>
        <v>30132483.040000007</v>
      </c>
      <c r="I76" s="10" t="s">
        <v>27</v>
      </c>
      <c r="J76" s="10">
        <f t="shared" si="3"/>
        <v>2</v>
      </c>
    </row>
    <row r="77" spans="1:10" x14ac:dyDescent="0.35">
      <c r="A77" s="11">
        <v>45708</v>
      </c>
      <c r="B77" s="11">
        <v>45708</v>
      </c>
      <c r="C77" t="s">
        <v>153</v>
      </c>
      <c r="D77" t="s">
        <v>17</v>
      </c>
      <c r="E77" s="9">
        <v>50</v>
      </c>
      <c r="F77" s="8"/>
      <c r="G77" s="8">
        <f t="shared" si="2"/>
        <v>30132433.040000007</v>
      </c>
      <c r="I77" s="10" t="s">
        <v>18</v>
      </c>
      <c r="J77" s="10">
        <f t="shared" si="3"/>
        <v>2</v>
      </c>
    </row>
    <row r="78" spans="1:10" x14ac:dyDescent="0.35">
      <c r="A78" s="11">
        <v>45708</v>
      </c>
      <c r="B78" s="11">
        <v>45708</v>
      </c>
      <c r="C78" t="s">
        <v>154</v>
      </c>
      <c r="D78" t="s">
        <v>155</v>
      </c>
      <c r="E78" s="9">
        <v>6000000</v>
      </c>
      <c r="F78" s="8"/>
      <c r="G78" s="8">
        <f t="shared" si="2"/>
        <v>24132433.040000007</v>
      </c>
      <c r="I78" s="10" t="s">
        <v>156</v>
      </c>
      <c r="J78" s="10">
        <f t="shared" si="3"/>
        <v>2</v>
      </c>
    </row>
    <row r="79" spans="1:10" x14ac:dyDescent="0.35">
      <c r="A79" s="11">
        <v>45709</v>
      </c>
      <c r="B79" s="11">
        <v>45709</v>
      </c>
      <c r="C79" t="s">
        <v>157</v>
      </c>
      <c r="D79" t="s">
        <v>85</v>
      </c>
      <c r="E79" s="9">
        <v>1411900</v>
      </c>
      <c r="F79" s="8"/>
      <c r="G79" s="8">
        <f t="shared" si="2"/>
        <v>22720533.040000007</v>
      </c>
      <c r="I79" s="10" t="s">
        <v>86</v>
      </c>
      <c r="J79" s="10">
        <f t="shared" si="3"/>
        <v>2</v>
      </c>
    </row>
    <row r="80" spans="1:10" x14ac:dyDescent="0.35">
      <c r="A80" s="11">
        <v>45712</v>
      </c>
      <c r="B80" s="11">
        <v>45712</v>
      </c>
      <c r="C80" t="s">
        <v>158</v>
      </c>
      <c r="D80" t="s">
        <v>159</v>
      </c>
      <c r="E80" s="8"/>
      <c r="F80" s="9">
        <v>2833250</v>
      </c>
      <c r="G80" s="8">
        <f t="shared" si="2"/>
        <v>25553783.040000007</v>
      </c>
      <c r="I80" s="10" t="s">
        <v>15</v>
      </c>
      <c r="J80" s="10">
        <f t="shared" si="3"/>
        <v>2</v>
      </c>
    </row>
    <row r="81" spans="1:10" x14ac:dyDescent="0.35">
      <c r="A81" s="11">
        <v>45712</v>
      </c>
      <c r="B81" s="11">
        <v>45712</v>
      </c>
      <c r="C81" t="s">
        <v>160</v>
      </c>
      <c r="D81" t="s">
        <v>17</v>
      </c>
      <c r="E81" s="9">
        <v>50</v>
      </c>
      <c r="F81" s="8"/>
      <c r="G81" s="8">
        <f t="shared" si="2"/>
        <v>25553733.040000007</v>
      </c>
      <c r="I81" s="10" t="s">
        <v>18</v>
      </c>
      <c r="J81" s="10">
        <f t="shared" si="3"/>
        <v>2</v>
      </c>
    </row>
    <row r="82" spans="1:10" x14ac:dyDescent="0.35">
      <c r="A82" s="11">
        <v>45712</v>
      </c>
      <c r="B82" s="11">
        <v>45712</v>
      </c>
      <c r="C82" t="s">
        <v>161</v>
      </c>
      <c r="D82" t="s">
        <v>162</v>
      </c>
      <c r="E82" s="8"/>
      <c r="F82" s="9">
        <v>4063500</v>
      </c>
      <c r="G82" s="8">
        <f t="shared" si="2"/>
        <v>29617233.040000007</v>
      </c>
      <c r="I82" s="10" t="s">
        <v>15</v>
      </c>
      <c r="J82" s="10">
        <f t="shared" si="3"/>
        <v>2</v>
      </c>
    </row>
    <row r="83" spans="1:10" x14ac:dyDescent="0.35">
      <c r="A83" s="11">
        <v>45712</v>
      </c>
      <c r="B83" s="11">
        <v>45712</v>
      </c>
      <c r="C83" t="s">
        <v>163</v>
      </c>
      <c r="D83" t="s">
        <v>17</v>
      </c>
      <c r="E83" s="9">
        <v>50</v>
      </c>
      <c r="F83" s="8"/>
      <c r="G83" s="8">
        <f t="shared" si="2"/>
        <v>29617183.040000007</v>
      </c>
      <c r="I83" s="10" t="s">
        <v>18</v>
      </c>
      <c r="J83" s="10">
        <f t="shared" si="3"/>
        <v>2</v>
      </c>
    </row>
    <row r="84" spans="1:10" x14ac:dyDescent="0.35">
      <c r="A84" s="11">
        <v>45712</v>
      </c>
      <c r="B84" s="11">
        <v>45712</v>
      </c>
      <c r="C84" t="s">
        <v>164</v>
      </c>
      <c r="D84" t="s">
        <v>165</v>
      </c>
      <c r="E84" s="8"/>
      <c r="F84" s="9">
        <v>5023750</v>
      </c>
      <c r="G84" s="8">
        <f t="shared" si="2"/>
        <v>34640933.040000007</v>
      </c>
      <c r="I84" s="10" t="s">
        <v>15</v>
      </c>
      <c r="J84" s="10">
        <f t="shared" si="3"/>
        <v>2</v>
      </c>
    </row>
    <row r="85" spans="1:10" x14ac:dyDescent="0.35">
      <c r="A85" s="11">
        <v>45712</v>
      </c>
      <c r="B85" s="11">
        <v>45712</v>
      </c>
      <c r="C85" t="s">
        <v>166</v>
      </c>
      <c r="D85" t="s">
        <v>17</v>
      </c>
      <c r="E85" s="9">
        <v>50</v>
      </c>
      <c r="F85" s="8"/>
      <c r="G85" s="8">
        <f t="shared" si="2"/>
        <v>34640883.040000007</v>
      </c>
      <c r="I85" s="10" t="s">
        <v>18</v>
      </c>
      <c r="J85" s="10">
        <f t="shared" si="3"/>
        <v>2</v>
      </c>
    </row>
    <row r="86" spans="1:10" x14ac:dyDescent="0.35">
      <c r="A86" s="11">
        <v>45712</v>
      </c>
      <c r="B86" s="11">
        <v>45712</v>
      </c>
      <c r="C86" t="s">
        <v>167</v>
      </c>
      <c r="D86" t="s">
        <v>168</v>
      </c>
      <c r="E86" s="9">
        <v>2059000</v>
      </c>
      <c r="F86" s="8"/>
      <c r="G86" s="8">
        <f t="shared" si="2"/>
        <v>32581883.040000007</v>
      </c>
      <c r="I86" s="10" t="s">
        <v>37</v>
      </c>
      <c r="J86" s="10">
        <f t="shared" si="3"/>
        <v>2</v>
      </c>
    </row>
    <row r="87" spans="1:10" x14ac:dyDescent="0.35">
      <c r="A87" s="11">
        <v>45712</v>
      </c>
      <c r="B87" s="11">
        <v>45712</v>
      </c>
      <c r="C87" t="s">
        <v>169</v>
      </c>
      <c r="D87" t="s">
        <v>170</v>
      </c>
      <c r="E87" s="9">
        <v>1945000</v>
      </c>
      <c r="F87" s="8"/>
      <c r="G87" s="8">
        <f t="shared" si="2"/>
        <v>30636883.040000007</v>
      </c>
      <c r="I87" s="10" t="s">
        <v>37</v>
      </c>
      <c r="J87" s="10">
        <f t="shared" si="3"/>
        <v>2</v>
      </c>
    </row>
    <row r="88" spans="1:10" x14ac:dyDescent="0.35">
      <c r="A88" s="11">
        <v>45712</v>
      </c>
      <c r="B88" s="11">
        <v>45712</v>
      </c>
      <c r="C88" t="s">
        <v>171</v>
      </c>
      <c r="D88" t="s">
        <v>62</v>
      </c>
      <c r="E88" s="9">
        <v>674000</v>
      </c>
      <c r="F88" s="8"/>
      <c r="G88" s="8">
        <f t="shared" si="2"/>
        <v>29962883.040000007</v>
      </c>
      <c r="I88" s="10" t="s">
        <v>63</v>
      </c>
      <c r="J88" s="10">
        <f t="shared" si="3"/>
        <v>2</v>
      </c>
    </row>
    <row r="89" spans="1:10" x14ac:dyDescent="0.35">
      <c r="A89" s="11">
        <v>45713</v>
      </c>
      <c r="B89" s="11">
        <v>45713</v>
      </c>
      <c r="C89" t="s">
        <v>172</v>
      </c>
      <c r="D89" t="s">
        <v>173</v>
      </c>
      <c r="E89" s="9">
        <v>14500000</v>
      </c>
      <c r="F89" s="8"/>
      <c r="G89" s="8">
        <f t="shared" si="2"/>
        <v>15462883.040000007</v>
      </c>
      <c r="I89" s="10" t="s">
        <v>174</v>
      </c>
      <c r="J89" s="10">
        <f t="shared" si="3"/>
        <v>2</v>
      </c>
    </row>
    <row r="90" spans="1:10" x14ac:dyDescent="0.35">
      <c r="A90" s="11">
        <v>45714</v>
      </c>
      <c r="B90" s="11">
        <v>45714</v>
      </c>
      <c r="C90" t="s">
        <v>175</v>
      </c>
      <c r="D90" t="s">
        <v>176</v>
      </c>
      <c r="E90" s="8"/>
      <c r="F90" s="9">
        <v>2359375</v>
      </c>
      <c r="G90" s="8">
        <f t="shared" si="2"/>
        <v>17822258.040000007</v>
      </c>
      <c r="I90" s="10" t="s">
        <v>15</v>
      </c>
      <c r="J90" s="10">
        <f t="shared" si="3"/>
        <v>2</v>
      </c>
    </row>
    <row r="91" spans="1:10" x14ac:dyDescent="0.35">
      <c r="A91" s="11">
        <v>45714</v>
      </c>
      <c r="B91" s="11">
        <v>45714</v>
      </c>
      <c r="C91" t="s">
        <v>177</v>
      </c>
      <c r="D91" t="s">
        <v>17</v>
      </c>
      <c r="E91" s="9">
        <v>50</v>
      </c>
      <c r="F91" s="8"/>
      <c r="G91" s="8">
        <f t="shared" si="2"/>
        <v>17822208.040000007</v>
      </c>
      <c r="I91" s="10" t="s">
        <v>18</v>
      </c>
      <c r="J91" s="10">
        <f t="shared" si="3"/>
        <v>2</v>
      </c>
    </row>
    <row r="92" spans="1:10" x14ac:dyDescent="0.35">
      <c r="A92" s="11">
        <v>45714</v>
      </c>
      <c r="B92" s="11">
        <v>45714</v>
      </c>
      <c r="C92" t="s">
        <v>178</v>
      </c>
      <c r="D92" t="s">
        <v>179</v>
      </c>
      <c r="E92" s="8"/>
      <c r="F92" s="9">
        <v>2649500</v>
      </c>
      <c r="G92" s="8">
        <f t="shared" si="2"/>
        <v>20471708.040000007</v>
      </c>
      <c r="I92" s="10" t="s">
        <v>15</v>
      </c>
      <c r="J92" s="10">
        <f t="shared" si="3"/>
        <v>2</v>
      </c>
    </row>
    <row r="93" spans="1:10" x14ac:dyDescent="0.35">
      <c r="A93" s="11">
        <v>45714</v>
      </c>
      <c r="B93" s="11">
        <v>45714</v>
      </c>
      <c r="C93" t="s">
        <v>180</v>
      </c>
      <c r="D93" t="s">
        <v>17</v>
      </c>
      <c r="E93" s="9">
        <v>50</v>
      </c>
      <c r="F93" s="8"/>
      <c r="G93" s="8">
        <f t="shared" si="2"/>
        <v>20471658.040000007</v>
      </c>
      <c r="I93" s="10" t="s">
        <v>18</v>
      </c>
      <c r="J93" s="10">
        <f t="shared" si="3"/>
        <v>2</v>
      </c>
    </row>
    <row r="94" spans="1:10" x14ac:dyDescent="0.35">
      <c r="A94" s="11">
        <v>45714</v>
      </c>
      <c r="B94" s="11">
        <v>45714</v>
      </c>
      <c r="C94" t="s">
        <v>181</v>
      </c>
      <c r="D94" t="s">
        <v>182</v>
      </c>
      <c r="E94" s="9">
        <v>2249500</v>
      </c>
      <c r="F94" s="8"/>
      <c r="G94" s="8">
        <f t="shared" si="2"/>
        <v>18222158.040000007</v>
      </c>
      <c r="I94" s="10" t="s">
        <v>37</v>
      </c>
      <c r="J94" s="10">
        <f t="shared" si="3"/>
        <v>2</v>
      </c>
    </row>
    <row r="95" spans="1:10" x14ac:dyDescent="0.35">
      <c r="A95" s="11">
        <v>45714</v>
      </c>
      <c r="B95" s="11">
        <v>45714</v>
      </c>
      <c r="C95" t="s">
        <v>183</v>
      </c>
      <c r="D95" t="s">
        <v>100</v>
      </c>
      <c r="E95" s="9">
        <v>238000</v>
      </c>
      <c r="F95" s="8"/>
      <c r="G95" s="8">
        <f t="shared" si="2"/>
        <v>17984158.040000007</v>
      </c>
      <c r="I95" s="10" t="s">
        <v>101</v>
      </c>
      <c r="J95" s="10">
        <f t="shared" si="3"/>
        <v>2</v>
      </c>
    </row>
    <row r="96" spans="1:10" x14ac:dyDescent="0.35">
      <c r="A96" s="11">
        <v>45715</v>
      </c>
      <c r="B96" s="11">
        <v>45715</v>
      </c>
      <c r="C96" t="s">
        <v>184</v>
      </c>
      <c r="D96" t="s">
        <v>185</v>
      </c>
      <c r="E96" s="8"/>
      <c r="F96" s="9">
        <v>1583342.88</v>
      </c>
      <c r="G96" s="8">
        <f t="shared" si="2"/>
        <v>19567500.920000006</v>
      </c>
      <c r="I96" s="10" t="s">
        <v>27</v>
      </c>
      <c r="J96" s="10">
        <f t="shared" si="3"/>
        <v>2</v>
      </c>
    </row>
    <row r="97" spans="1:10" x14ac:dyDescent="0.35">
      <c r="A97" s="11">
        <v>45715</v>
      </c>
      <c r="B97" s="11">
        <v>45715</v>
      </c>
      <c r="C97" t="s">
        <v>186</v>
      </c>
      <c r="D97" t="s">
        <v>17</v>
      </c>
      <c r="E97" s="9">
        <v>50</v>
      </c>
      <c r="F97" s="8"/>
      <c r="G97" s="8">
        <f t="shared" si="2"/>
        <v>19567450.920000006</v>
      </c>
      <c r="I97" s="10" t="s">
        <v>18</v>
      </c>
      <c r="J97" s="10">
        <f t="shared" si="3"/>
        <v>2</v>
      </c>
    </row>
    <row r="98" spans="1:10" x14ac:dyDescent="0.35">
      <c r="A98" s="11">
        <v>45716</v>
      </c>
      <c r="B98" s="11">
        <v>45716</v>
      </c>
      <c r="C98" t="s">
        <v>187</v>
      </c>
      <c r="D98" t="s">
        <v>188</v>
      </c>
      <c r="E98" s="8"/>
      <c r="F98" s="9">
        <v>2359375</v>
      </c>
      <c r="G98" s="8">
        <f t="shared" si="2"/>
        <v>21926825.920000006</v>
      </c>
      <c r="I98" s="10" t="s">
        <v>15</v>
      </c>
      <c r="J98" s="10">
        <f t="shared" si="3"/>
        <v>2</v>
      </c>
    </row>
    <row r="99" spans="1:10" x14ac:dyDescent="0.35">
      <c r="A99" s="11">
        <v>45716</v>
      </c>
      <c r="B99" s="11">
        <v>45716</v>
      </c>
      <c r="C99" t="s">
        <v>189</v>
      </c>
      <c r="D99" t="s">
        <v>17</v>
      </c>
      <c r="E99" s="9">
        <v>50</v>
      </c>
      <c r="F99" s="8"/>
      <c r="G99" s="8">
        <f t="shared" si="2"/>
        <v>21926775.920000006</v>
      </c>
      <c r="I99" s="10" t="s">
        <v>18</v>
      </c>
      <c r="J99" s="10">
        <f t="shared" si="3"/>
        <v>2</v>
      </c>
    </row>
    <row r="100" spans="1:10" x14ac:dyDescent="0.35">
      <c r="A100" s="11">
        <v>45716</v>
      </c>
      <c r="B100" s="11">
        <v>45716</v>
      </c>
      <c r="C100" t="s">
        <v>190</v>
      </c>
      <c r="D100" t="s">
        <v>106</v>
      </c>
      <c r="E100" s="9">
        <v>4180000</v>
      </c>
      <c r="F100" s="8"/>
      <c r="G100" s="8">
        <f t="shared" si="2"/>
        <v>17746775.920000006</v>
      </c>
      <c r="I100" s="10" t="s">
        <v>107</v>
      </c>
      <c r="J100" s="10">
        <f t="shared" si="3"/>
        <v>2</v>
      </c>
    </row>
    <row r="101" spans="1:10" x14ac:dyDescent="0.35">
      <c r="A101" s="11">
        <v>45716</v>
      </c>
      <c r="B101" s="11">
        <v>45716</v>
      </c>
      <c r="C101" t="s">
        <v>191</v>
      </c>
      <c r="D101" t="s">
        <v>113</v>
      </c>
      <c r="E101" s="9">
        <v>13458.03</v>
      </c>
      <c r="F101" s="8"/>
      <c r="G101" s="8">
        <f t="shared" si="2"/>
        <v>17733317.890000004</v>
      </c>
      <c r="I101" s="10" t="s">
        <v>114</v>
      </c>
      <c r="J101" s="10">
        <f t="shared" si="3"/>
        <v>2</v>
      </c>
    </row>
    <row r="102" spans="1:10" x14ac:dyDescent="0.35">
      <c r="A102" s="11">
        <v>45716</v>
      </c>
      <c r="B102" s="11">
        <v>45716</v>
      </c>
      <c r="C102" t="s">
        <v>192</v>
      </c>
      <c r="D102" t="s">
        <v>116</v>
      </c>
      <c r="E102" s="9">
        <v>1550</v>
      </c>
      <c r="F102" s="8"/>
      <c r="G102" s="8">
        <f t="shared" si="2"/>
        <v>17731767.890000004</v>
      </c>
      <c r="I102" s="10" t="s">
        <v>117</v>
      </c>
      <c r="J102" s="10">
        <f t="shared" si="3"/>
        <v>2</v>
      </c>
    </row>
    <row r="103" spans="1:10" x14ac:dyDescent="0.35">
      <c r="A103" s="11">
        <v>45716</v>
      </c>
      <c r="B103" s="11">
        <v>45716</v>
      </c>
      <c r="C103" t="s">
        <v>193</v>
      </c>
      <c r="D103" t="s">
        <v>119</v>
      </c>
      <c r="E103" s="9">
        <v>124</v>
      </c>
      <c r="F103" s="8"/>
      <c r="G103" s="8">
        <f t="shared" si="2"/>
        <v>17731643.890000004</v>
      </c>
      <c r="I103" s="10" t="s">
        <v>120</v>
      </c>
      <c r="J103" s="10">
        <f t="shared" si="3"/>
        <v>2</v>
      </c>
    </row>
    <row r="104" spans="1:10" x14ac:dyDescent="0.35">
      <c r="A104" s="11">
        <v>45716</v>
      </c>
      <c r="B104" s="11">
        <v>45716</v>
      </c>
      <c r="C104" t="s">
        <v>194</v>
      </c>
      <c r="D104" t="s">
        <v>122</v>
      </c>
      <c r="E104" s="9">
        <v>125.55</v>
      </c>
      <c r="F104" s="8"/>
      <c r="G104" s="8">
        <f t="shared" si="2"/>
        <v>17731518.340000004</v>
      </c>
      <c r="I104" s="10" t="s">
        <v>123</v>
      </c>
      <c r="J104" s="10">
        <f t="shared" si="3"/>
        <v>2</v>
      </c>
    </row>
    <row r="105" spans="1:10" x14ac:dyDescent="0.35">
      <c r="A105" s="11">
        <v>45719</v>
      </c>
      <c r="B105" s="11">
        <v>45719</v>
      </c>
      <c r="C105" t="s">
        <v>195</v>
      </c>
      <c r="D105" t="s">
        <v>196</v>
      </c>
      <c r="E105" s="9">
        <v>2808500</v>
      </c>
      <c r="F105" s="8"/>
      <c r="G105" s="8">
        <f t="shared" si="2"/>
        <v>14923018.340000004</v>
      </c>
      <c r="I105" s="10" t="s">
        <v>37</v>
      </c>
      <c r="J105" s="10">
        <f t="shared" si="3"/>
        <v>3</v>
      </c>
    </row>
    <row r="106" spans="1:10" x14ac:dyDescent="0.35">
      <c r="A106" s="11">
        <v>45719</v>
      </c>
      <c r="B106" s="11">
        <v>45719</v>
      </c>
      <c r="C106" t="s">
        <v>197</v>
      </c>
      <c r="D106" t="s">
        <v>20</v>
      </c>
      <c r="E106" s="9">
        <v>151100</v>
      </c>
      <c r="F106" s="8"/>
      <c r="G106" s="8">
        <f t="shared" si="2"/>
        <v>14771918.340000004</v>
      </c>
      <c r="I106" s="10" t="s">
        <v>21</v>
      </c>
      <c r="J106" s="10">
        <f t="shared" si="3"/>
        <v>3</v>
      </c>
    </row>
    <row r="107" spans="1:10" x14ac:dyDescent="0.35">
      <c r="A107" s="11">
        <v>45719</v>
      </c>
      <c r="B107" s="11">
        <v>45719</v>
      </c>
      <c r="C107" t="s">
        <v>198</v>
      </c>
      <c r="D107" t="s">
        <v>199</v>
      </c>
      <c r="E107" s="8"/>
      <c r="F107" s="9">
        <v>20000000</v>
      </c>
      <c r="G107" s="8">
        <f t="shared" si="2"/>
        <v>34771918.340000004</v>
      </c>
      <c r="I107" s="10" t="s">
        <v>200</v>
      </c>
      <c r="J107" s="10">
        <f t="shared" si="3"/>
        <v>3</v>
      </c>
    </row>
    <row r="108" spans="1:10" x14ac:dyDescent="0.35">
      <c r="A108" s="11">
        <v>45719</v>
      </c>
      <c r="B108" s="11">
        <v>45719</v>
      </c>
      <c r="C108" t="s">
        <v>201</v>
      </c>
      <c r="D108" t="s">
        <v>17</v>
      </c>
      <c r="E108" s="9">
        <v>50</v>
      </c>
      <c r="F108" s="8"/>
      <c r="G108" s="8">
        <f t="shared" si="2"/>
        <v>34771868.340000004</v>
      </c>
      <c r="I108" s="10" t="s">
        <v>18</v>
      </c>
      <c r="J108" s="10">
        <f t="shared" si="3"/>
        <v>3</v>
      </c>
    </row>
    <row r="109" spans="1:10" x14ac:dyDescent="0.35">
      <c r="A109" s="11">
        <v>45719</v>
      </c>
      <c r="B109" s="11">
        <v>45719</v>
      </c>
      <c r="C109" t="s">
        <v>202</v>
      </c>
      <c r="D109" t="s">
        <v>203</v>
      </c>
      <c r="E109" s="9">
        <v>215000</v>
      </c>
      <c r="F109" s="8"/>
      <c r="G109" s="8">
        <f t="shared" si="2"/>
        <v>34556868.340000004</v>
      </c>
      <c r="I109" s="10" t="s">
        <v>204</v>
      </c>
      <c r="J109" s="10">
        <f t="shared" si="3"/>
        <v>3</v>
      </c>
    </row>
    <row r="110" spans="1:10" x14ac:dyDescent="0.35">
      <c r="A110" s="11">
        <v>45721</v>
      </c>
      <c r="B110" s="11">
        <v>45721</v>
      </c>
      <c r="C110" t="s">
        <v>205</v>
      </c>
      <c r="D110" t="s">
        <v>30</v>
      </c>
      <c r="E110" s="9">
        <v>471000</v>
      </c>
      <c r="F110" s="8"/>
      <c r="G110" s="8">
        <f t="shared" si="2"/>
        <v>34085868.340000004</v>
      </c>
      <c r="I110" s="10" t="s">
        <v>31</v>
      </c>
      <c r="J110" s="10">
        <f t="shared" si="3"/>
        <v>3</v>
      </c>
    </row>
    <row r="111" spans="1:10" x14ac:dyDescent="0.35">
      <c r="A111" s="11">
        <v>45722</v>
      </c>
      <c r="B111" s="11">
        <v>45722</v>
      </c>
      <c r="C111" t="s">
        <v>206</v>
      </c>
      <c r="D111" t="s">
        <v>207</v>
      </c>
      <c r="E111" s="8"/>
      <c r="F111" s="9">
        <v>2185000</v>
      </c>
      <c r="G111" s="8">
        <f t="shared" si="2"/>
        <v>36270868.340000004</v>
      </c>
      <c r="I111" s="10" t="s">
        <v>15</v>
      </c>
      <c r="J111" s="10">
        <f t="shared" si="3"/>
        <v>3</v>
      </c>
    </row>
    <row r="112" spans="1:10" x14ac:dyDescent="0.35">
      <c r="A112" s="11">
        <v>45722</v>
      </c>
      <c r="B112" s="11">
        <v>45722</v>
      </c>
      <c r="C112" t="s">
        <v>208</v>
      </c>
      <c r="D112" t="s">
        <v>17</v>
      </c>
      <c r="E112" s="9">
        <v>50</v>
      </c>
      <c r="F112" s="8"/>
      <c r="G112" s="8">
        <f t="shared" si="2"/>
        <v>36270818.340000004</v>
      </c>
      <c r="I112" s="10" t="s">
        <v>18</v>
      </c>
      <c r="J112" s="10">
        <f t="shared" si="3"/>
        <v>3</v>
      </c>
    </row>
    <row r="113" spans="1:10" x14ac:dyDescent="0.35">
      <c r="A113" s="11">
        <v>45722</v>
      </c>
      <c r="B113" s="11">
        <v>45722</v>
      </c>
      <c r="C113" t="s">
        <v>209</v>
      </c>
      <c r="D113" t="s">
        <v>210</v>
      </c>
      <c r="E113" s="8"/>
      <c r="F113" s="9">
        <v>1575630.72</v>
      </c>
      <c r="G113" s="8">
        <f t="shared" si="2"/>
        <v>37846449.060000002</v>
      </c>
      <c r="I113" s="10" t="s">
        <v>27</v>
      </c>
      <c r="J113" s="10">
        <f t="shared" si="3"/>
        <v>3</v>
      </c>
    </row>
    <row r="114" spans="1:10" x14ac:dyDescent="0.35">
      <c r="A114" s="11">
        <v>45722</v>
      </c>
      <c r="B114" s="11">
        <v>45722</v>
      </c>
      <c r="C114" t="s">
        <v>211</v>
      </c>
      <c r="D114" t="s">
        <v>17</v>
      </c>
      <c r="E114" s="9">
        <v>50</v>
      </c>
      <c r="F114" s="8"/>
      <c r="G114" s="8">
        <f t="shared" si="2"/>
        <v>37846399.060000002</v>
      </c>
      <c r="I114" s="10" t="s">
        <v>18</v>
      </c>
      <c r="J114" s="10">
        <f t="shared" si="3"/>
        <v>3</v>
      </c>
    </row>
    <row r="115" spans="1:10" x14ac:dyDescent="0.35">
      <c r="A115" s="11">
        <v>45726</v>
      </c>
      <c r="B115" s="11">
        <v>45726</v>
      </c>
      <c r="C115" t="s">
        <v>212</v>
      </c>
      <c r="D115" t="s">
        <v>213</v>
      </c>
      <c r="E115" s="8"/>
      <c r="F115" s="9">
        <v>2030250</v>
      </c>
      <c r="G115" s="8">
        <f t="shared" si="2"/>
        <v>39876649.060000002</v>
      </c>
      <c r="I115" s="10" t="s">
        <v>15</v>
      </c>
      <c r="J115" s="10">
        <f t="shared" si="3"/>
        <v>3</v>
      </c>
    </row>
    <row r="116" spans="1:10" x14ac:dyDescent="0.35">
      <c r="A116" s="11">
        <v>45726</v>
      </c>
      <c r="B116" s="11">
        <v>45726</v>
      </c>
      <c r="C116" t="s">
        <v>214</v>
      </c>
      <c r="D116" t="s">
        <v>17</v>
      </c>
      <c r="E116" s="9">
        <v>50</v>
      </c>
      <c r="F116" s="8"/>
      <c r="G116" s="8">
        <f t="shared" si="2"/>
        <v>39876599.060000002</v>
      </c>
      <c r="I116" s="10" t="s">
        <v>18</v>
      </c>
      <c r="J116" s="10">
        <f t="shared" si="3"/>
        <v>3</v>
      </c>
    </row>
    <row r="117" spans="1:10" x14ac:dyDescent="0.35">
      <c r="A117" s="11">
        <v>45726</v>
      </c>
      <c r="B117" s="11">
        <v>45726</v>
      </c>
      <c r="C117" t="s">
        <v>215</v>
      </c>
      <c r="D117" t="s">
        <v>45</v>
      </c>
      <c r="E117" s="9">
        <v>520000</v>
      </c>
      <c r="F117" s="8"/>
      <c r="G117" s="8">
        <f t="shared" si="2"/>
        <v>39356599.060000002</v>
      </c>
      <c r="I117" s="10" t="s">
        <v>46</v>
      </c>
      <c r="J117" s="10">
        <f t="shared" si="3"/>
        <v>3</v>
      </c>
    </row>
    <row r="118" spans="1:10" x14ac:dyDescent="0.35">
      <c r="A118" s="11">
        <v>45726</v>
      </c>
      <c r="B118" s="11">
        <v>45726</v>
      </c>
      <c r="C118" t="s">
        <v>216</v>
      </c>
      <c r="D118" t="s">
        <v>48</v>
      </c>
      <c r="E118" s="9">
        <v>680000</v>
      </c>
      <c r="F118" s="8"/>
      <c r="G118" s="8">
        <f t="shared" si="2"/>
        <v>38676599.060000002</v>
      </c>
      <c r="I118" s="10" t="s">
        <v>49</v>
      </c>
      <c r="J118" s="10">
        <f t="shared" si="3"/>
        <v>3</v>
      </c>
    </row>
    <row r="119" spans="1:10" x14ac:dyDescent="0.35">
      <c r="A119" s="11">
        <v>45728</v>
      </c>
      <c r="B119" s="11">
        <v>45728</v>
      </c>
      <c r="C119" t="s">
        <v>217</v>
      </c>
      <c r="D119" t="s">
        <v>218</v>
      </c>
      <c r="E119" s="9">
        <v>2482000</v>
      </c>
      <c r="F119" s="8"/>
      <c r="G119" s="8">
        <f t="shared" si="2"/>
        <v>36194599.060000002</v>
      </c>
      <c r="I119" s="10" t="s">
        <v>37</v>
      </c>
      <c r="J119" s="10">
        <f t="shared" si="3"/>
        <v>3</v>
      </c>
    </row>
    <row r="120" spans="1:10" x14ac:dyDescent="0.35">
      <c r="A120" s="11">
        <v>45728</v>
      </c>
      <c r="B120" s="11">
        <v>45728</v>
      </c>
      <c r="C120" t="s">
        <v>219</v>
      </c>
      <c r="D120" t="s">
        <v>65</v>
      </c>
      <c r="E120" s="9">
        <v>1031000</v>
      </c>
      <c r="F120" s="8"/>
      <c r="G120" s="8">
        <f t="shared" si="2"/>
        <v>35163599.060000002</v>
      </c>
      <c r="I120" s="10" t="s">
        <v>31</v>
      </c>
      <c r="J120" s="10">
        <f t="shared" si="3"/>
        <v>3</v>
      </c>
    </row>
    <row r="121" spans="1:10" x14ac:dyDescent="0.35">
      <c r="A121" s="11">
        <v>45729</v>
      </c>
      <c r="B121" s="11">
        <v>45729</v>
      </c>
      <c r="C121" t="s">
        <v>220</v>
      </c>
      <c r="D121" t="s">
        <v>221</v>
      </c>
      <c r="E121" s="8"/>
      <c r="F121" s="9">
        <v>1312500</v>
      </c>
      <c r="G121" s="8">
        <f t="shared" si="2"/>
        <v>36476099.060000002</v>
      </c>
      <c r="I121" s="10" t="s">
        <v>15</v>
      </c>
      <c r="J121" s="10">
        <f t="shared" si="3"/>
        <v>3</v>
      </c>
    </row>
    <row r="122" spans="1:10" x14ac:dyDescent="0.35">
      <c r="A122" s="11">
        <v>45729</v>
      </c>
      <c r="B122" s="11">
        <v>45729</v>
      </c>
      <c r="C122" t="s">
        <v>222</v>
      </c>
      <c r="D122" t="s">
        <v>17</v>
      </c>
      <c r="E122" s="9">
        <v>50</v>
      </c>
      <c r="F122" s="8"/>
      <c r="G122" s="8">
        <f t="shared" si="2"/>
        <v>36476049.060000002</v>
      </c>
      <c r="I122" s="10" t="s">
        <v>18</v>
      </c>
      <c r="J122" s="10">
        <f t="shared" si="3"/>
        <v>3</v>
      </c>
    </row>
    <row r="123" spans="1:10" x14ac:dyDescent="0.35">
      <c r="A123" s="11">
        <v>45729</v>
      </c>
      <c r="B123" s="11">
        <v>45729</v>
      </c>
      <c r="C123" t="s">
        <v>223</v>
      </c>
      <c r="D123" t="s">
        <v>224</v>
      </c>
      <c r="E123" s="8"/>
      <c r="F123" s="9">
        <v>1739689.65</v>
      </c>
      <c r="G123" s="8">
        <f t="shared" si="2"/>
        <v>38215738.710000001</v>
      </c>
      <c r="I123" s="10" t="s">
        <v>27</v>
      </c>
      <c r="J123" s="10">
        <f t="shared" si="3"/>
        <v>3</v>
      </c>
    </row>
    <row r="124" spans="1:10" x14ac:dyDescent="0.35">
      <c r="A124" s="11">
        <v>45729</v>
      </c>
      <c r="B124" s="11">
        <v>45729</v>
      </c>
      <c r="C124" t="s">
        <v>225</v>
      </c>
      <c r="D124" t="s">
        <v>17</v>
      </c>
      <c r="E124" s="9">
        <v>50</v>
      </c>
      <c r="F124" s="8"/>
      <c r="G124" s="8">
        <f t="shared" si="2"/>
        <v>38215688.710000001</v>
      </c>
      <c r="I124" s="10" t="s">
        <v>18</v>
      </c>
      <c r="J124" s="10">
        <f t="shared" si="3"/>
        <v>3</v>
      </c>
    </row>
    <row r="125" spans="1:10" x14ac:dyDescent="0.35">
      <c r="A125" s="11">
        <v>45730</v>
      </c>
      <c r="B125" s="11">
        <v>45730</v>
      </c>
      <c r="C125" t="s">
        <v>226</v>
      </c>
      <c r="D125" t="s">
        <v>227</v>
      </c>
      <c r="E125" s="9">
        <v>3000000</v>
      </c>
      <c r="F125" s="8"/>
      <c r="G125" s="8">
        <f t="shared" si="2"/>
        <v>35215688.710000001</v>
      </c>
      <c r="I125" s="10" t="s">
        <v>228</v>
      </c>
      <c r="J125" s="10">
        <f t="shared" si="3"/>
        <v>3</v>
      </c>
    </row>
    <row r="126" spans="1:10" x14ac:dyDescent="0.35">
      <c r="A126" s="11">
        <v>45733</v>
      </c>
      <c r="B126" s="11">
        <v>45733</v>
      </c>
      <c r="C126" t="s">
        <v>229</v>
      </c>
      <c r="D126" t="s">
        <v>230</v>
      </c>
      <c r="E126" s="8"/>
      <c r="F126" s="9">
        <v>4210000</v>
      </c>
      <c r="G126" s="8">
        <f t="shared" si="2"/>
        <v>39425688.710000001</v>
      </c>
      <c r="I126" s="10" t="s">
        <v>15</v>
      </c>
      <c r="J126" s="10">
        <f t="shared" si="3"/>
        <v>3</v>
      </c>
    </row>
    <row r="127" spans="1:10" x14ac:dyDescent="0.35">
      <c r="A127" s="11">
        <v>45733</v>
      </c>
      <c r="B127" s="11">
        <v>45733</v>
      </c>
      <c r="C127" t="s">
        <v>231</v>
      </c>
      <c r="D127" t="s">
        <v>17</v>
      </c>
      <c r="E127" s="9">
        <v>50</v>
      </c>
      <c r="F127" s="8"/>
      <c r="G127" s="8">
        <f t="shared" si="2"/>
        <v>39425638.710000001</v>
      </c>
      <c r="I127" s="10" t="s">
        <v>18</v>
      </c>
      <c r="J127" s="10">
        <f t="shared" si="3"/>
        <v>3</v>
      </c>
    </row>
    <row r="128" spans="1:10" x14ac:dyDescent="0.35">
      <c r="A128" s="11">
        <v>45733</v>
      </c>
      <c r="B128" s="11">
        <v>45733</v>
      </c>
      <c r="C128" t="s">
        <v>232</v>
      </c>
      <c r="D128" t="s">
        <v>233</v>
      </c>
      <c r="E128" s="8"/>
      <c r="F128" s="9">
        <v>3602000</v>
      </c>
      <c r="G128" s="8">
        <f t="shared" si="2"/>
        <v>43027638.710000001</v>
      </c>
      <c r="I128" s="10" t="s">
        <v>15</v>
      </c>
      <c r="J128" s="10">
        <f t="shared" si="3"/>
        <v>3</v>
      </c>
    </row>
    <row r="129" spans="1:10" x14ac:dyDescent="0.35">
      <c r="A129" s="11">
        <v>45733</v>
      </c>
      <c r="B129" s="11">
        <v>45733</v>
      </c>
      <c r="C129" t="s">
        <v>234</v>
      </c>
      <c r="D129" t="s">
        <v>17</v>
      </c>
      <c r="E129" s="9">
        <v>50</v>
      </c>
      <c r="F129" s="8"/>
      <c r="G129" s="8">
        <f t="shared" si="2"/>
        <v>43027588.710000001</v>
      </c>
      <c r="I129" s="10" t="s">
        <v>18</v>
      </c>
      <c r="J129" s="10">
        <f t="shared" si="3"/>
        <v>3</v>
      </c>
    </row>
    <row r="130" spans="1:10" x14ac:dyDescent="0.35">
      <c r="A130" s="11">
        <v>45733</v>
      </c>
      <c r="B130" s="11">
        <v>45733</v>
      </c>
      <c r="C130" t="s">
        <v>235</v>
      </c>
      <c r="D130" t="s">
        <v>70</v>
      </c>
      <c r="E130" s="9">
        <v>71100</v>
      </c>
      <c r="F130" s="8"/>
      <c r="G130" s="8">
        <f t="shared" si="2"/>
        <v>42956488.710000001</v>
      </c>
      <c r="I130" s="10" t="s">
        <v>71</v>
      </c>
      <c r="J130" s="10">
        <f t="shared" si="3"/>
        <v>3</v>
      </c>
    </row>
    <row r="131" spans="1:10" x14ac:dyDescent="0.35">
      <c r="A131" s="11">
        <v>45733</v>
      </c>
      <c r="B131" s="11">
        <v>45733</v>
      </c>
      <c r="C131" t="s">
        <v>236</v>
      </c>
      <c r="D131" t="s">
        <v>141</v>
      </c>
      <c r="E131" s="9">
        <v>470000</v>
      </c>
      <c r="F131" s="8"/>
      <c r="G131" s="8">
        <f t="shared" si="2"/>
        <v>42486488.710000001</v>
      </c>
      <c r="I131" s="10" t="s">
        <v>77</v>
      </c>
      <c r="J131" s="10">
        <f t="shared" si="3"/>
        <v>3</v>
      </c>
    </row>
    <row r="132" spans="1:10" x14ac:dyDescent="0.35">
      <c r="A132" s="11">
        <v>45735</v>
      </c>
      <c r="B132" s="11">
        <v>45735</v>
      </c>
      <c r="C132" t="s">
        <v>237</v>
      </c>
      <c r="D132" t="s">
        <v>238</v>
      </c>
      <c r="E132" s="8"/>
      <c r="F132" s="9">
        <v>2723500</v>
      </c>
      <c r="G132" s="8">
        <f t="shared" si="2"/>
        <v>45209988.710000001</v>
      </c>
      <c r="I132" s="10" t="s">
        <v>15</v>
      </c>
      <c r="J132" s="10">
        <f t="shared" si="3"/>
        <v>3</v>
      </c>
    </row>
    <row r="133" spans="1:10" x14ac:dyDescent="0.35">
      <c r="A133" s="11">
        <v>45735</v>
      </c>
      <c r="B133" s="11">
        <v>45735</v>
      </c>
      <c r="C133" t="s">
        <v>239</v>
      </c>
      <c r="D133" t="s">
        <v>17</v>
      </c>
      <c r="E133" s="9">
        <v>50</v>
      </c>
      <c r="F133" s="8"/>
      <c r="G133" s="8">
        <f t="shared" si="2"/>
        <v>45209938.710000001</v>
      </c>
      <c r="I133" s="10" t="s">
        <v>18</v>
      </c>
      <c r="J133" s="10">
        <f t="shared" si="3"/>
        <v>3</v>
      </c>
    </row>
    <row r="134" spans="1:10" x14ac:dyDescent="0.35">
      <c r="A134" s="11">
        <v>45735</v>
      </c>
      <c r="B134" s="11">
        <v>45735</v>
      </c>
      <c r="C134" t="s">
        <v>240</v>
      </c>
      <c r="D134" t="s">
        <v>62</v>
      </c>
      <c r="E134" s="9">
        <v>1526000</v>
      </c>
      <c r="F134" s="8"/>
      <c r="G134" s="8">
        <f t="shared" ref="G134:G197" si="4">G133+F134-E134</f>
        <v>43683938.710000001</v>
      </c>
      <c r="I134" s="10" t="s">
        <v>63</v>
      </c>
      <c r="J134" s="10">
        <f t="shared" ref="J134:J197" si="5">MONTH(A134)</f>
        <v>3</v>
      </c>
    </row>
    <row r="135" spans="1:10" x14ac:dyDescent="0.35">
      <c r="A135" s="11">
        <v>45736</v>
      </c>
      <c r="B135" s="11">
        <v>45736</v>
      </c>
      <c r="C135" t="s">
        <v>241</v>
      </c>
      <c r="D135" t="s">
        <v>242</v>
      </c>
      <c r="E135" s="8"/>
      <c r="F135" s="9">
        <v>1130540.17</v>
      </c>
      <c r="G135" s="8">
        <f t="shared" si="4"/>
        <v>44814478.880000003</v>
      </c>
      <c r="I135" s="10" t="s">
        <v>27</v>
      </c>
      <c r="J135" s="10">
        <f t="shared" si="5"/>
        <v>3</v>
      </c>
    </row>
    <row r="136" spans="1:10" x14ac:dyDescent="0.35">
      <c r="A136" s="11">
        <v>45736</v>
      </c>
      <c r="B136" s="11">
        <v>45736</v>
      </c>
      <c r="C136" t="s">
        <v>243</v>
      </c>
      <c r="D136" t="s">
        <v>17</v>
      </c>
      <c r="E136" s="9">
        <v>50</v>
      </c>
      <c r="F136" s="8"/>
      <c r="G136" s="8">
        <f t="shared" si="4"/>
        <v>44814428.880000003</v>
      </c>
      <c r="I136" s="10" t="s">
        <v>18</v>
      </c>
      <c r="J136" s="10">
        <f t="shared" si="5"/>
        <v>3</v>
      </c>
    </row>
    <row r="137" spans="1:10" x14ac:dyDescent="0.35">
      <c r="A137" s="11">
        <v>45736</v>
      </c>
      <c r="B137" s="11">
        <v>45736</v>
      </c>
      <c r="C137" t="s">
        <v>244</v>
      </c>
      <c r="D137" t="s">
        <v>245</v>
      </c>
      <c r="E137" s="9">
        <v>450000</v>
      </c>
      <c r="F137" s="8"/>
      <c r="G137" s="8">
        <f t="shared" si="4"/>
        <v>44364428.880000003</v>
      </c>
      <c r="I137" s="10" t="s">
        <v>246</v>
      </c>
      <c r="J137" s="10">
        <f t="shared" si="5"/>
        <v>3</v>
      </c>
    </row>
    <row r="138" spans="1:10" x14ac:dyDescent="0.35">
      <c r="A138" s="11">
        <v>45737</v>
      </c>
      <c r="B138" s="11">
        <v>45737</v>
      </c>
      <c r="C138" t="s">
        <v>247</v>
      </c>
      <c r="D138" t="s">
        <v>85</v>
      </c>
      <c r="E138" s="9">
        <v>1413200</v>
      </c>
      <c r="F138" s="8"/>
      <c r="G138" s="8">
        <f t="shared" si="4"/>
        <v>42951228.880000003</v>
      </c>
      <c r="I138" s="10" t="s">
        <v>86</v>
      </c>
      <c r="J138" s="10">
        <f t="shared" si="5"/>
        <v>3</v>
      </c>
    </row>
    <row r="139" spans="1:10" x14ac:dyDescent="0.35">
      <c r="A139" s="11">
        <v>45740</v>
      </c>
      <c r="B139" s="11">
        <v>45740</v>
      </c>
      <c r="C139" t="s">
        <v>248</v>
      </c>
      <c r="D139" t="s">
        <v>249</v>
      </c>
      <c r="E139" s="8"/>
      <c r="F139" s="9">
        <v>1312500</v>
      </c>
      <c r="G139" s="8">
        <f t="shared" si="4"/>
        <v>44263728.880000003</v>
      </c>
      <c r="I139" s="10" t="s">
        <v>15</v>
      </c>
      <c r="J139" s="10">
        <f t="shared" si="5"/>
        <v>3</v>
      </c>
    </row>
    <row r="140" spans="1:10" x14ac:dyDescent="0.35">
      <c r="A140" s="11">
        <v>45740</v>
      </c>
      <c r="B140" s="11">
        <v>45740</v>
      </c>
      <c r="C140" t="s">
        <v>250</v>
      </c>
      <c r="D140" t="s">
        <v>17</v>
      </c>
      <c r="E140" s="9">
        <v>50</v>
      </c>
      <c r="F140" s="8"/>
      <c r="G140" s="8">
        <f t="shared" si="4"/>
        <v>44263678.880000003</v>
      </c>
      <c r="I140" s="10" t="s">
        <v>18</v>
      </c>
      <c r="J140" s="10">
        <f t="shared" si="5"/>
        <v>3</v>
      </c>
    </row>
    <row r="141" spans="1:10" x14ac:dyDescent="0.35">
      <c r="A141" s="11">
        <v>45740</v>
      </c>
      <c r="B141" s="11">
        <v>45740</v>
      </c>
      <c r="C141" t="s">
        <v>251</v>
      </c>
      <c r="D141" t="s">
        <v>252</v>
      </c>
      <c r="E141" s="9">
        <v>1808000</v>
      </c>
      <c r="F141" s="8"/>
      <c r="G141" s="8">
        <f t="shared" si="4"/>
        <v>42455678.880000003</v>
      </c>
      <c r="I141" s="10" t="s">
        <v>37</v>
      </c>
      <c r="J141" s="10">
        <f t="shared" si="5"/>
        <v>3</v>
      </c>
    </row>
    <row r="142" spans="1:10" x14ac:dyDescent="0.35">
      <c r="A142" s="11">
        <v>45740</v>
      </c>
      <c r="B142" s="11">
        <v>45740</v>
      </c>
      <c r="C142" t="s">
        <v>253</v>
      </c>
      <c r="D142" t="s">
        <v>62</v>
      </c>
      <c r="E142" s="9">
        <v>873000</v>
      </c>
      <c r="F142" s="8"/>
      <c r="G142" s="8">
        <f t="shared" si="4"/>
        <v>41582678.880000003</v>
      </c>
      <c r="I142" s="10" t="s">
        <v>63</v>
      </c>
      <c r="J142" s="10">
        <f t="shared" si="5"/>
        <v>3</v>
      </c>
    </row>
    <row r="143" spans="1:10" x14ac:dyDescent="0.35">
      <c r="A143" s="11">
        <v>45742</v>
      </c>
      <c r="B143" s="11">
        <v>45742</v>
      </c>
      <c r="C143" t="s">
        <v>254</v>
      </c>
      <c r="D143" t="s">
        <v>255</v>
      </c>
      <c r="E143" s="8"/>
      <c r="F143" s="9">
        <v>3951500</v>
      </c>
      <c r="G143" s="8">
        <f t="shared" si="4"/>
        <v>45534178.880000003</v>
      </c>
      <c r="I143" s="10" t="s">
        <v>15</v>
      </c>
      <c r="J143" s="10">
        <f t="shared" si="5"/>
        <v>3</v>
      </c>
    </row>
    <row r="144" spans="1:10" x14ac:dyDescent="0.35">
      <c r="A144" s="11">
        <v>45742</v>
      </c>
      <c r="B144" s="11">
        <v>45742</v>
      </c>
      <c r="C144" t="s">
        <v>256</v>
      </c>
      <c r="D144" t="s">
        <v>17</v>
      </c>
      <c r="E144" s="9">
        <v>50</v>
      </c>
      <c r="F144" s="8"/>
      <c r="G144" s="8">
        <f t="shared" si="4"/>
        <v>45534128.880000003</v>
      </c>
      <c r="I144" s="10" t="s">
        <v>18</v>
      </c>
      <c r="J144" s="10">
        <f t="shared" si="5"/>
        <v>3</v>
      </c>
    </row>
    <row r="145" spans="1:10" x14ac:dyDescent="0.35">
      <c r="A145" s="11">
        <v>45742</v>
      </c>
      <c r="B145" s="11">
        <v>45742</v>
      </c>
      <c r="C145" t="s">
        <v>257</v>
      </c>
      <c r="D145" t="s">
        <v>100</v>
      </c>
      <c r="E145" s="9">
        <v>157000</v>
      </c>
      <c r="F145" s="8"/>
      <c r="G145" s="8">
        <f t="shared" si="4"/>
        <v>45377128.880000003</v>
      </c>
      <c r="I145" s="10" t="s">
        <v>101</v>
      </c>
      <c r="J145" s="10">
        <f t="shared" si="5"/>
        <v>3</v>
      </c>
    </row>
    <row r="146" spans="1:10" x14ac:dyDescent="0.35">
      <c r="A146" s="11">
        <v>45743</v>
      </c>
      <c r="B146" s="11">
        <v>45743</v>
      </c>
      <c r="C146" t="s">
        <v>258</v>
      </c>
      <c r="D146" t="s">
        <v>259</v>
      </c>
      <c r="E146" s="8"/>
      <c r="F146" s="9">
        <v>3373000</v>
      </c>
      <c r="G146" s="8">
        <f t="shared" si="4"/>
        <v>48750128.880000003</v>
      </c>
      <c r="I146" s="10" t="s">
        <v>15</v>
      </c>
      <c r="J146" s="10">
        <f t="shared" si="5"/>
        <v>3</v>
      </c>
    </row>
    <row r="147" spans="1:10" x14ac:dyDescent="0.35">
      <c r="A147" s="11">
        <v>45743</v>
      </c>
      <c r="B147" s="11">
        <v>45743</v>
      </c>
      <c r="C147" t="s">
        <v>260</v>
      </c>
      <c r="D147" t="s">
        <v>17</v>
      </c>
      <c r="E147" s="9">
        <v>50</v>
      </c>
      <c r="F147" s="8"/>
      <c r="G147" s="8">
        <f t="shared" si="4"/>
        <v>48750078.880000003</v>
      </c>
      <c r="I147" s="10" t="s">
        <v>18</v>
      </c>
      <c r="J147" s="10">
        <f t="shared" si="5"/>
        <v>3</v>
      </c>
    </row>
    <row r="148" spans="1:10" x14ac:dyDescent="0.35">
      <c r="A148" s="11">
        <v>45743</v>
      </c>
      <c r="B148" s="11">
        <v>45743</v>
      </c>
      <c r="C148" t="s">
        <v>261</v>
      </c>
      <c r="D148" t="s">
        <v>262</v>
      </c>
      <c r="E148" s="8"/>
      <c r="F148" s="9">
        <v>1240784.08</v>
      </c>
      <c r="G148" s="8">
        <f t="shared" si="4"/>
        <v>49990862.960000001</v>
      </c>
      <c r="I148" s="10" t="s">
        <v>27</v>
      </c>
      <c r="J148" s="10">
        <f t="shared" si="5"/>
        <v>3</v>
      </c>
    </row>
    <row r="149" spans="1:10" x14ac:dyDescent="0.35">
      <c r="A149" s="11">
        <v>45743</v>
      </c>
      <c r="B149" s="11">
        <v>45743</v>
      </c>
      <c r="C149" t="s">
        <v>263</v>
      </c>
      <c r="D149" t="s">
        <v>17</v>
      </c>
      <c r="E149" s="9">
        <v>50</v>
      </c>
      <c r="F149" s="8"/>
      <c r="G149" s="8">
        <f t="shared" si="4"/>
        <v>49990812.960000001</v>
      </c>
      <c r="I149" s="10" t="s">
        <v>18</v>
      </c>
      <c r="J149" s="10">
        <f t="shared" si="5"/>
        <v>3</v>
      </c>
    </row>
    <row r="150" spans="1:10" x14ac:dyDescent="0.35">
      <c r="A150" s="11">
        <v>45744</v>
      </c>
      <c r="B150" s="11">
        <v>45744</v>
      </c>
      <c r="C150" t="s">
        <v>264</v>
      </c>
      <c r="D150" t="s">
        <v>106</v>
      </c>
      <c r="E150" s="9">
        <v>4180000</v>
      </c>
      <c r="F150" s="8"/>
      <c r="G150" s="8">
        <f t="shared" si="4"/>
        <v>45810812.960000001</v>
      </c>
      <c r="I150" s="10" t="s">
        <v>107</v>
      </c>
      <c r="J150" s="10">
        <f t="shared" si="5"/>
        <v>3</v>
      </c>
    </row>
    <row r="151" spans="1:10" x14ac:dyDescent="0.35">
      <c r="A151" s="11">
        <v>45746</v>
      </c>
      <c r="B151" s="11">
        <v>45746</v>
      </c>
      <c r="C151" t="s">
        <v>265</v>
      </c>
      <c r="D151" t="s">
        <v>266</v>
      </c>
      <c r="E151" s="8"/>
      <c r="F151" s="9">
        <v>13673.24</v>
      </c>
      <c r="G151" s="8">
        <f t="shared" si="4"/>
        <v>45824486.200000003</v>
      </c>
      <c r="I151" s="10" t="s">
        <v>267</v>
      </c>
      <c r="J151" s="10">
        <f t="shared" si="5"/>
        <v>3</v>
      </c>
    </row>
    <row r="152" spans="1:10" x14ac:dyDescent="0.35">
      <c r="A152" s="11">
        <v>45746</v>
      </c>
      <c r="B152" s="11">
        <v>45746</v>
      </c>
      <c r="C152" t="s">
        <v>268</v>
      </c>
      <c r="D152" t="s">
        <v>17</v>
      </c>
      <c r="E152" s="9">
        <v>50</v>
      </c>
      <c r="F152" s="8"/>
      <c r="G152" s="8">
        <f t="shared" si="4"/>
        <v>45824436.200000003</v>
      </c>
      <c r="I152" s="10" t="s">
        <v>18</v>
      </c>
      <c r="J152" s="10">
        <f t="shared" si="5"/>
        <v>3</v>
      </c>
    </row>
    <row r="153" spans="1:10" x14ac:dyDescent="0.35">
      <c r="A153" s="11">
        <v>45747</v>
      </c>
      <c r="B153" s="11">
        <v>45747</v>
      </c>
      <c r="C153" t="s">
        <v>269</v>
      </c>
      <c r="D153" t="s">
        <v>113</v>
      </c>
      <c r="E153" s="9">
        <v>6692.07</v>
      </c>
      <c r="F153" s="8"/>
      <c r="G153" s="8">
        <f t="shared" si="4"/>
        <v>45817744.130000003</v>
      </c>
      <c r="I153" s="10" t="s">
        <v>114</v>
      </c>
      <c r="J153" s="10">
        <f t="shared" si="5"/>
        <v>3</v>
      </c>
    </row>
    <row r="154" spans="1:10" x14ac:dyDescent="0.35">
      <c r="A154" s="11">
        <v>45747</v>
      </c>
      <c r="B154" s="11">
        <v>45747</v>
      </c>
      <c r="C154" t="s">
        <v>270</v>
      </c>
      <c r="D154" t="s">
        <v>116</v>
      </c>
      <c r="E154" s="9">
        <v>1650</v>
      </c>
      <c r="F154" s="8"/>
      <c r="G154" s="8">
        <f t="shared" si="4"/>
        <v>45816094.130000003</v>
      </c>
      <c r="I154" s="10" t="s">
        <v>117</v>
      </c>
      <c r="J154" s="10">
        <f t="shared" si="5"/>
        <v>3</v>
      </c>
    </row>
    <row r="155" spans="1:10" x14ac:dyDescent="0.35">
      <c r="A155" s="11">
        <v>45747</v>
      </c>
      <c r="B155" s="11">
        <v>45747</v>
      </c>
      <c r="C155" t="s">
        <v>271</v>
      </c>
      <c r="D155" t="s">
        <v>119</v>
      </c>
      <c r="E155" s="9">
        <v>132</v>
      </c>
      <c r="F155" s="8"/>
      <c r="G155" s="8">
        <f t="shared" si="4"/>
        <v>45815962.130000003</v>
      </c>
      <c r="I155" s="10" t="s">
        <v>120</v>
      </c>
      <c r="J155" s="10">
        <f t="shared" si="5"/>
        <v>3</v>
      </c>
    </row>
    <row r="156" spans="1:10" x14ac:dyDescent="0.35">
      <c r="A156" s="11">
        <v>45747</v>
      </c>
      <c r="B156" s="11">
        <v>45747</v>
      </c>
      <c r="C156" t="s">
        <v>272</v>
      </c>
      <c r="D156" t="s">
        <v>122</v>
      </c>
      <c r="E156" s="9">
        <v>133.65</v>
      </c>
      <c r="F156" s="8"/>
      <c r="G156" s="8">
        <f t="shared" si="4"/>
        <v>45815828.480000004</v>
      </c>
      <c r="I156" s="10" t="s">
        <v>123</v>
      </c>
      <c r="J156" s="10">
        <f t="shared" si="5"/>
        <v>3</v>
      </c>
    </row>
    <row r="157" spans="1:10" x14ac:dyDescent="0.35">
      <c r="A157" s="11">
        <v>45750</v>
      </c>
      <c r="B157" s="11">
        <v>45750</v>
      </c>
      <c r="C157" t="s">
        <v>273</v>
      </c>
      <c r="D157" t="s">
        <v>274</v>
      </c>
      <c r="E157" s="8"/>
      <c r="F157" s="9">
        <v>4043000</v>
      </c>
      <c r="G157" s="8">
        <f t="shared" si="4"/>
        <v>49858828.480000004</v>
      </c>
      <c r="I157" s="10" t="s">
        <v>15</v>
      </c>
      <c r="J157" s="10">
        <f t="shared" si="5"/>
        <v>4</v>
      </c>
    </row>
    <row r="158" spans="1:10" x14ac:dyDescent="0.35">
      <c r="A158" s="11">
        <v>45750</v>
      </c>
      <c r="B158" s="11">
        <v>45750</v>
      </c>
      <c r="C158" t="s">
        <v>275</v>
      </c>
      <c r="D158" t="s">
        <v>17</v>
      </c>
      <c r="E158" s="9">
        <v>50</v>
      </c>
      <c r="F158" s="8"/>
      <c r="G158" s="8">
        <f t="shared" si="4"/>
        <v>49858778.480000004</v>
      </c>
      <c r="I158" s="10" t="s">
        <v>18</v>
      </c>
      <c r="J158" s="10">
        <f t="shared" si="5"/>
        <v>4</v>
      </c>
    </row>
    <row r="159" spans="1:10" x14ac:dyDescent="0.35">
      <c r="A159" s="11">
        <v>45750</v>
      </c>
      <c r="B159" s="11">
        <v>45750</v>
      </c>
      <c r="C159" t="s">
        <v>276</v>
      </c>
      <c r="D159" t="s">
        <v>277</v>
      </c>
      <c r="E159" s="8"/>
      <c r="F159" s="9">
        <v>2129616.2799999998</v>
      </c>
      <c r="G159" s="8">
        <f t="shared" si="4"/>
        <v>51988394.760000005</v>
      </c>
      <c r="I159" s="10" t="s">
        <v>40</v>
      </c>
      <c r="J159" s="10">
        <f t="shared" si="5"/>
        <v>4</v>
      </c>
    </row>
    <row r="160" spans="1:10" x14ac:dyDescent="0.35">
      <c r="A160" s="11">
        <v>45750</v>
      </c>
      <c r="B160" s="11">
        <v>45750</v>
      </c>
      <c r="C160" t="s">
        <v>278</v>
      </c>
      <c r="D160" t="s">
        <v>17</v>
      </c>
      <c r="E160" s="9">
        <v>50</v>
      </c>
      <c r="F160" s="8"/>
      <c r="G160" s="8">
        <f t="shared" si="4"/>
        <v>51988344.760000005</v>
      </c>
      <c r="I160" s="10" t="s">
        <v>18</v>
      </c>
      <c r="J160" s="10">
        <f t="shared" si="5"/>
        <v>4</v>
      </c>
    </row>
    <row r="161" spans="1:10" x14ac:dyDescent="0.35">
      <c r="A161" s="11">
        <v>45750</v>
      </c>
      <c r="B161" s="11">
        <v>45750</v>
      </c>
      <c r="C161" t="s">
        <v>279</v>
      </c>
      <c r="D161" t="s">
        <v>20</v>
      </c>
      <c r="E161" s="9">
        <v>150500</v>
      </c>
      <c r="F161" s="8"/>
      <c r="G161" s="8">
        <f t="shared" si="4"/>
        <v>51837844.760000005</v>
      </c>
      <c r="I161" s="10" t="s">
        <v>21</v>
      </c>
      <c r="J161" s="10">
        <f t="shared" si="5"/>
        <v>4</v>
      </c>
    </row>
    <row r="162" spans="1:10" x14ac:dyDescent="0.35">
      <c r="A162" s="11">
        <v>45750</v>
      </c>
      <c r="B162" s="11">
        <v>45750</v>
      </c>
      <c r="C162" t="s">
        <v>280</v>
      </c>
      <c r="D162" t="s">
        <v>281</v>
      </c>
      <c r="E162" s="9">
        <v>1891191.93</v>
      </c>
      <c r="F162" s="8"/>
      <c r="G162" s="8">
        <f t="shared" si="4"/>
        <v>49946652.830000006</v>
      </c>
      <c r="I162" s="10" t="s">
        <v>282</v>
      </c>
      <c r="J162" s="10">
        <f t="shared" si="5"/>
        <v>4</v>
      </c>
    </row>
    <row r="163" spans="1:10" x14ac:dyDescent="0.35">
      <c r="A163" s="11">
        <v>45751</v>
      </c>
      <c r="B163" s="11">
        <v>45751</v>
      </c>
      <c r="C163" t="s">
        <v>283</v>
      </c>
      <c r="D163" t="s">
        <v>284</v>
      </c>
      <c r="E163" s="8"/>
      <c r="F163" s="9">
        <v>2040625</v>
      </c>
      <c r="G163" s="8">
        <f t="shared" si="4"/>
        <v>51987277.830000006</v>
      </c>
      <c r="I163" s="10" t="s">
        <v>15</v>
      </c>
      <c r="J163" s="10">
        <f t="shared" si="5"/>
        <v>4</v>
      </c>
    </row>
    <row r="164" spans="1:10" x14ac:dyDescent="0.35">
      <c r="A164" s="11">
        <v>45751</v>
      </c>
      <c r="B164" s="11">
        <v>45751</v>
      </c>
      <c r="C164" t="s">
        <v>285</v>
      </c>
      <c r="D164" t="s">
        <v>17</v>
      </c>
      <c r="E164" s="9">
        <v>50</v>
      </c>
      <c r="F164" s="8"/>
      <c r="G164" s="8">
        <f t="shared" si="4"/>
        <v>51987227.830000006</v>
      </c>
      <c r="I164" s="10" t="s">
        <v>18</v>
      </c>
      <c r="J164" s="10">
        <f t="shared" si="5"/>
        <v>4</v>
      </c>
    </row>
    <row r="165" spans="1:10" x14ac:dyDescent="0.35">
      <c r="A165" s="11">
        <v>45751</v>
      </c>
      <c r="B165" s="11">
        <v>45751</v>
      </c>
      <c r="C165" t="s">
        <v>286</v>
      </c>
      <c r="D165" t="s">
        <v>287</v>
      </c>
      <c r="E165" s="9">
        <v>2142000</v>
      </c>
      <c r="F165" s="8"/>
      <c r="G165" s="8">
        <f t="shared" si="4"/>
        <v>49845227.830000006</v>
      </c>
      <c r="I165" s="10" t="s">
        <v>37</v>
      </c>
      <c r="J165" s="10">
        <f t="shared" si="5"/>
        <v>4</v>
      </c>
    </row>
    <row r="166" spans="1:10" x14ac:dyDescent="0.35">
      <c r="A166" s="11">
        <v>45754</v>
      </c>
      <c r="B166" s="11">
        <v>45754</v>
      </c>
      <c r="C166" t="s">
        <v>288</v>
      </c>
      <c r="D166" t="s">
        <v>289</v>
      </c>
      <c r="E166" s="8"/>
      <c r="F166" s="9">
        <v>3048779.07</v>
      </c>
      <c r="G166" s="8">
        <f t="shared" si="4"/>
        <v>52894006.900000006</v>
      </c>
      <c r="I166" s="10" t="s">
        <v>40</v>
      </c>
      <c r="J166" s="10">
        <f t="shared" si="5"/>
        <v>4</v>
      </c>
    </row>
    <row r="167" spans="1:10" x14ac:dyDescent="0.35">
      <c r="A167" s="11">
        <v>45754</v>
      </c>
      <c r="B167" s="11">
        <v>45754</v>
      </c>
      <c r="C167" t="s">
        <v>290</v>
      </c>
      <c r="D167" t="s">
        <v>17</v>
      </c>
      <c r="E167" s="9">
        <v>50</v>
      </c>
      <c r="F167" s="8"/>
      <c r="G167" s="8">
        <f t="shared" si="4"/>
        <v>52893956.900000006</v>
      </c>
      <c r="I167" s="10" t="s">
        <v>18</v>
      </c>
      <c r="J167" s="10">
        <f t="shared" si="5"/>
        <v>4</v>
      </c>
    </row>
    <row r="168" spans="1:10" x14ac:dyDescent="0.35">
      <c r="A168" s="11">
        <v>45754</v>
      </c>
      <c r="B168" s="11">
        <v>45754</v>
      </c>
      <c r="C168" t="s">
        <v>291</v>
      </c>
      <c r="D168" t="s">
        <v>292</v>
      </c>
      <c r="E168" s="8"/>
      <c r="F168" s="9">
        <v>1356735.87</v>
      </c>
      <c r="G168" s="8">
        <f t="shared" si="4"/>
        <v>54250692.770000003</v>
      </c>
      <c r="I168" s="10" t="s">
        <v>27</v>
      </c>
      <c r="J168" s="10">
        <f t="shared" si="5"/>
        <v>4</v>
      </c>
    </row>
    <row r="169" spans="1:10" x14ac:dyDescent="0.35">
      <c r="A169" s="11">
        <v>45754</v>
      </c>
      <c r="B169" s="11">
        <v>45754</v>
      </c>
      <c r="C169" t="s">
        <v>293</v>
      </c>
      <c r="D169" t="s">
        <v>17</v>
      </c>
      <c r="E169" s="9">
        <v>50</v>
      </c>
      <c r="F169" s="8"/>
      <c r="G169" s="8">
        <f t="shared" si="4"/>
        <v>54250642.770000003</v>
      </c>
      <c r="I169" s="10" t="s">
        <v>18</v>
      </c>
      <c r="J169" s="10">
        <f t="shared" si="5"/>
        <v>4</v>
      </c>
    </row>
    <row r="170" spans="1:10" x14ac:dyDescent="0.35">
      <c r="A170" s="11">
        <v>45754</v>
      </c>
      <c r="B170" s="11">
        <v>45754</v>
      </c>
      <c r="C170" t="s">
        <v>294</v>
      </c>
      <c r="D170" t="s">
        <v>30</v>
      </c>
      <c r="E170" s="9">
        <v>427000</v>
      </c>
      <c r="F170" s="8"/>
      <c r="G170" s="8">
        <f t="shared" si="4"/>
        <v>53823642.770000003</v>
      </c>
      <c r="I170" s="10" t="s">
        <v>31</v>
      </c>
      <c r="J170" s="10">
        <f t="shared" si="5"/>
        <v>4</v>
      </c>
    </row>
    <row r="171" spans="1:10" x14ac:dyDescent="0.35">
      <c r="A171" s="11">
        <v>45756</v>
      </c>
      <c r="B171" s="11">
        <v>45758</v>
      </c>
      <c r="C171" t="s">
        <v>295</v>
      </c>
      <c r="D171" t="s">
        <v>296</v>
      </c>
      <c r="E171" s="8"/>
      <c r="F171" s="9">
        <v>2350000</v>
      </c>
      <c r="G171" s="8">
        <f t="shared" si="4"/>
        <v>56173642.770000003</v>
      </c>
      <c r="I171" s="10" t="s">
        <v>15</v>
      </c>
      <c r="J171" s="10">
        <f t="shared" si="5"/>
        <v>4</v>
      </c>
    </row>
    <row r="172" spans="1:10" x14ac:dyDescent="0.35">
      <c r="A172" s="11">
        <v>45756</v>
      </c>
      <c r="B172" s="11">
        <v>45756</v>
      </c>
      <c r="C172" t="s">
        <v>297</v>
      </c>
      <c r="D172" t="s">
        <v>17</v>
      </c>
      <c r="E172" s="9">
        <v>50</v>
      </c>
      <c r="F172" s="8"/>
      <c r="G172" s="8">
        <f t="shared" si="4"/>
        <v>56173592.770000003</v>
      </c>
      <c r="I172" s="10" t="s">
        <v>18</v>
      </c>
      <c r="J172" s="10">
        <f t="shared" si="5"/>
        <v>4</v>
      </c>
    </row>
    <row r="173" spans="1:10" x14ac:dyDescent="0.35">
      <c r="A173" s="11">
        <v>45757</v>
      </c>
      <c r="B173" s="11">
        <v>45757</v>
      </c>
      <c r="C173" t="s">
        <v>298</v>
      </c>
      <c r="D173" t="s">
        <v>299</v>
      </c>
      <c r="E173" s="9">
        <v>2417000</v>
      </c>
      <c r="F173" s="8"/>
      <c r="G173" s="8">
        <f t="shared" si="4"/>
        <v>53756592.770000003</v>
      </c>
      <c r="I173" s="10" t="s">
        <v>37</v>
      </c>
      <c r="J173" s="10">
        <f t="shared" si="5"/>
        <v>4</v>
      </c>
    </row>
    <row r="174" spans="1:10" x14ac:dyDescent="0.35">
      <c r="A174" s="11">
        <v>45757</v>
      </c>
      <c r="B174" s="11">
        <v>45757</v>
      </c>
      <c r="C174" t="s">
        <v>300</v>
      </c>
      <c r="D174" t="s">
        <v>301</v>
      </c>
      <c r="E174" s="9">
        <v>2801500</v>
      </c>
      <c r="F174" s="8"/>
      <c r="G174" s="8">
        <f t="shared" si="4"/>
        <v>50955092.770000003</v>
      </c>
      <c r="I174" s="10" t="s">
        <v>37</v>
      </c>
      <c r="J174" s="10">
        <f t="shared" si="5"/>
        <v>4</v>
      </c>
    </row>
    <row r="175" spans="1:10" x14ac:dyDescent="0.35">
      <c r="A175" s="11">
        <v>45757</v>
      </c>
      <c r="B175" s="11">
        <v>45757</v>
      </c>
      <c r="C175" t="s">
        <v>302</v>
      </c>
      <c r="D175" t="s">
        <v>45</v>
      </c>
      <c r="E175" s="9">
        <v>520000</v>
      </c>
      <c r="F175" s="8"/>
      <c r="G175" s="8">
        <f t="shared" si="4"/>
        <v>50435092.770000003</v>
      </c>
      <c r="I175" s="10" t="s">
        <v>46</v>
      </c>
      <c r="J175" s="10">
        <f t="shared" si="5"/>
        <v>4</v>
      </c>
    </row>
    <row r="176" spans="1:10" x14ac:dyDescent="0.35">
      <c r="A176" s="11">
        <v>45757</v>
      </c>
      <c r="B176" s="11">
        <v>45757</v>
      </c>
      <c r="C176" t="s">
        <v>303</v>
      </c>
      <c r="D176" t="s">
        <v>48</v>
      </c>
      <c r="E176" s="9">
        <v>680000</v>
      </c>
      <c r="F176" s="8"/>
      <c r="G176" s="8">
        <f t="shared" si="4"/>
        <v>49755092.770000003</v>
      </c>
      <c r="I176" s="10" t="s">
        <v>49</v>
      </c>
      <c r="J176" s="10">
        <f t="shared" si="5"/>
        <v>4</v>
      </c>
    </row>
    <row r="177" spans="1:10" x14ac:dyDescent="0.35">
      <c r="A177" s="11">
        <v>45758</v>
      </c>
      <c r="B177" s="11">
        <v>45758</v>
      </c>
      <c r="C177" t="s">
        <v>304</v>
      </c>
      <c r="D177" t="s">
        <v>62</v>
      </c>
      <c r="E177" s="9">
        <v>1345000</v>
      </c>
      <c r="F177" s="8"/>
      <c r="G177" s="8">
        <f t="shared" si="4"/>
        <v>48410092.770000003</v>
      </c>
      <c r="I177" s="10" t="s">
        <v>63</v>
      </c>
      <c r="J177" s="10">
        <f t="shared" si="5"/>
        <v>4</v>
      </c>
    </row>
    <row r="178" spans="1:10" x14ac:dyDescent="0.35">
      <c r="A178" s="11">
        <v>45761</v>
      </c>
      <c r="B178" s="11">
        <v>45761</v>
      </c>
      <c r="C178" t="s">
        <v>305</v>
      </c>
      <c r="D178" t="s">
        <v>306</v>
      </c>
      <c r="E178" s="8"/>
      <c r="F178" s="9">
        <v>2040625</v>
      </c>
      <c r="G178" s="8">
        <f t="shared" si="4"/>
        <v>50450717.770000003</v>
      </c>
      <c r="I178" s="10" t="s">
        <v>15</v>
      </c>
      <c r="J178" s="10">
        <f t="shared" si="5"/>
        <v>4</v>
      </c>
    </row>
    <row r="179" spans="1:10" x14ac:dyDescent="0.35">
      <c r="A179" s="11">
        <v>45761</v>
      </c>
      <c r="B179" s="11">
        <v>45761</v>
      </c>
      <c r="C179" t="s">
        <v>307</v>
      </c>
      <c r="D179" t="s">
        <v>17</v>
      </c>
      <c r="E179" s="9">
        <v>50</v>
      </c>
      <c r="F179" s="8"/>
      <c r="G179" s="8">
        <f t="shared" si="4"/>
        <v>50450667.770000003</v>
      </c>
      <c r="I179" s="10" t="s">
        <v>18</v>
      </c>
      <c r="J179" s="10">
        <f t="shared" si="5"/>
        <v>4</v>
      </c>
    </row>
    <row r="180" spans="1:10" x14ac:dyDescent="0.35">
      <c r="A180" s="11">
        <v>45761</v>
      </c>
      <c r="B180" s="11">
        <v>45761</v>
      </c>
      <c r="C180" t="s">
        <v>308</v>
      </c>
      <c r="D180" t="s">
        <v>309</v>
      </c>
      <c r="E180" s="8"/>
      <c r="F180" s="9">
        <v>1608214.95</v>
      </c>
      <c r="G180" s="8">
        <f t="shared" si="4"/>
        <v>52058882.720000006</v>
      </c>
      <c r="I180" s="10" t="s">
        <v>27</v>
      </c>
      <c r="J180" s="10">
        <f t="shared" si="5"/>
        <v>4</v>
      </c>
    </row>
    <row r="181" spans="1:10" x14ac:dyDescent="0.35">
      <c r="A181" s="11">
        <v>45761</v>
      </c>
      <c r="B181" s="11">
        <v>45761</v>
      </c>
      <c r="C181" t="s">
        <v>310</v>
      </c>
      <c r="D181" t="s">
        <v>17</v>
      </c>
      <c r="E181" s="9">
        <v>50</v>
      </c>
      <c r="F181" s="8"/>
      <c r="G181" s="8">
        <f t="shared" si="4"/>
        <v>52058832.720000006</v>
      </c>
      <c r="I181" s="10" t="s">
        <v>18</v>
      </c>
      <c r="J181" s="10">
        <f t="shared" si="5"/>
        <v>4</v>
      </c>
    </row>
    <row r="182" spans="1:10" x14ac:dyDescent="0.35">
      <c r="A182" s="11">
        <v>45761</v>
      </c>
      <c r="B182" s="11">
        <v>45761</v>
      </c>
      <c r="C182" t="s">
        <v>311</v>
      </c>
      <c r="D182" t="s">
        <v>65</v>
      </c>
      <c r="E182" s="9">
        <v>1056000</v>
      </c>
      <c r="F182" s="8"/>
      <c r="G182" s="8">
        <f t="shared" si="4"/>
        <v>51002832.720000006</v>
      </c>
      <c r="I182" s="10" t="s">
        <v>31</v>
      </c>
      <c r="J182" s="10">
        <f t="shared" si="5"/>
        <v>4</v>
      </c>
    </row>
    <row r="183" spans="1:10" x14ac:dyDescent="0.35">
      <c r="A183" s="11">
        <v>45761</v>
      </c>
      <c r="B183" s="11">
        <v>45761</v>
      </c>
      <c r="C183" t="s">
        <v>312</v>
      </c>
      <c r="D183" t="s">
        <v>313</v>
      </c>
      <c r="E183" s="9">
        <v>2350000</v>
      </c>
      <c r="F183" s="8"/>
      <c r="G183" s="8">
        <f t="shared" si="4"/>
        <v>48652832.720000006</v>
      </c>
      <c r="I183" s="10" t="s">
        <v>314</v>
      </c>
      <c r="J183" s="10">
        <f t="shared" si="5"/>
        <v>4</v>
      </c>
    </row>
    <row r="184" spans="1:10" x14ac:dyDescent="0.35">
      <c r="A184" s="11">
        <v>45761</v>
      </c>
      <c r="B184" s="11">
        <v>45761</v>
      </c>
      <c r="C184" t="s">
        <v>315</v>
      </c>
      <c r="D184" t="s">
        <v>316</v>
      </c>
      <c r="E184" s="9">
        <v>5000</v>
      </c>
      <c r="F184" s="8"/>
      <c r="G184" s="8">
        <f t="shared" si="4"/>
        <v>48647832.720000006</v>
      </c>
      <c r="I184" s="10" t="s">
        <v>120</v>
      </c>
      <c r="J184" s="10">
        <f t="shared" si="5"/>
        <v>4</v>
      </c>
    </row>
    <row r="185" spans="1:10" x14ac:dyDescent="0.35">
      <c r="A185" s="11">
        <v>45762</v>
      </c>
      <c r="B185" s="11">
        <v>45762</v>
      </c>
      <c r="C185" t="s">
        <v>317</v>
      </c>
      <c r="D185" t="s">
        <v>70</v>
      </c>
      <c r="E185" s="9">
        <v>37900</v>
      </c>
      <c r="F185" s="8"/>
      <c r="G185" s="8">
        <f t="shared" si="4"/>
        <v>48609932.720000006</v>
      </c>
      <c r="I185" s="10" t="s">
        <v>71</v>
      </c>
      <c r="J185" s="10">
        <f t="shared" si="5"/>
        <v>4</v>
      </c>
    </row>
    <row r="186" spans="1:10" x14ac:dyDescent="0.35">
      <c r="A186" s="11">
        <v>45764</v>
      </c>
      <c r="B186" s="11">
        <v>45764</v>
      </c>
      <c r="C186" t="s">
        <v>318</v>
      </c>
      <c r="D186" t="s">
        <v>76</v>
      </c>
      <c r="E186" s="9">
        <v>1391000</v>
      </c>
      <c r="F186" s="8"/>
      <c r="G186" s="8">
        <f t="shared" si="4"/>
        <v>47218932.720000006</v>
      </c>
      <c r="I186" s="10" t="s">
        <v>77</v>
      </c>
      <c r="J186" s="10">
        <f t="shared" si="5"/>
        <v>4</v>
      </c>
    </row>
    <row r="187" spans="1:10" x14ac:dyDescent="0.35">
      <c r="A187" s="11">
        <v>45765</v>
      </c>
      <c r="B187" s="11">
        <v>45765</v>
      </c>
      <c r="C187" t="s">
        <v>319</v>
      </c>
      <c r="D187" t="s">
        <v>320</v>
      </c>
      <c r="E187" s="8"/>
      <c r="F187" s="9">
        <v>2879250</v>
      </c>
      <c r="G187" s="8">
        <f t="shared" si="4"/>
        <v>50098182.720000006</v>
      </c>
      <c r="I187" s="10" t="s">
        <v>15</v>
      </c>
      <c r="J187" s="10">
        <f t="shared" si="5"/>
        <v>4</v>
      </c>
    </row>
    <row r="188" spans="1:10" x14ac:dyDescent="0.35">
      <c r="A188" s="11">
        <v>45765</v>
      </c>
      <c r="B188" s="11">
        <v>45765</v>
      </c>
      <c r="C188" t="s">
        <v>321</v>
      </c>
      <c r="D188" t="s">
        <v>17</v>
      </c>
      <c r="E188" s="9">
        <v>50</v>
      </c>
      <c r="F188" s="8"/>
      <c r="G188" s="8">
        <f t="shared" si="4"/>
        <v>50098132.720000006</v>
      </c>
      <c r="I188" s="10" t="s">
        <v>18</v>
      </c>
      <c r="J188" s="10">
        <f t="shared" si="5"/>
        <v>4</v>
      </c>
    </row>
    <row r="189" spans="1:10" x14ac:dyDescent="0.35">
      <c r="A189" s="11">
        <v>45768</v>
      </c>
      <c r="B189" s="11">
        <v>45768</v>
      </c>
      <c r="C189" t="s">
        <v>322</v>
      </c>
      <c r="D189" t="s">
        <v>323</v>
      </c>
      <c r="E189" s="8"/>
      <c r="F189" s="9">
        <v>1200251.1499999999</v>
      </c>
      <c r="G189" s="8">
        <f t="shared" si="4"/>
        <v>51298383.870000005</v>
      </c>
      <c r="I189" s="10" t="s">
        <v>27</v>
      </c>
      <c r="J189" s="10">
        <f t="shared" si="5"/>
        <v>4</v>
      </c>
    </row>
    <row r="190" spans="1:10" x14ac:dyDescent="0.35">
      <c r="A190" s="11">
        <v>45768</v>
      </c>
      <c r="B190" s="11">
        <v>45768</v>
      </c>
      <c r="C190" t="s">
        <v>324</v>
      </c>
      <c r="D190" t="s">
        <v>17</v>
      </c>
      <c r="E190" s="9">
        <v>50</v>
      </c>
      <c r="F190" s="8"/>
      <c r="G190" s="8">
        <f t="shared" si="4"/>
        <v>51298333.870000005</v>
      </c>
      <c r="I190" s="10" t="s">
        <v>18</v>
      </c>
      <c r="J190" s="10">
        <f t="shared" si="5"/>
        <v>4</v>
      </c>
    </row>
    <row r="191" spans="1:10" x14ac:dyDescent="0.35">
      <c r="A191" s="11">
        <v>45768</v>
      </c>
      <c r="B191" s="11">
        <v>45768</v>
      </c>
      <c r="C191" t="s">
        <v>325</v>
      </c>
      <c r="D191" t="s">
        <v>85</v>
      </c>
      <c r="E191" s="9">
        <v>1580100</v>
      </c>
      <c r="F191" s="8"/>
      <c r="G191" s="8">
        <f t="shared" si="4"/>
        <v>49718233.870000005</v>
      </c>
      <c r="I191" s="10" t="s">
        <v>86</v>
      </c>
      <c r="J191" s="10">
        <f t="shared" si="5"/>
        <v>4</v>
      </c>
    </row>
    <row r="192" spans="1:10" x14ac:dyDescent="0.35">
      <c r="A192" s="11">
        <v>45770</v>
      </c>
      <c r="B192" s="11">
        <v>45770</v>
      </c>
      <c r="C192" t="s">
        <v>326</v>
      </c>
      <c r="D192" t="s">
        <v>327</v>
      </c>
      <c r="E192" s="8"/>
      <c r="F192" s="9">
        <v>2930500</v>
      </c>
      <c r="G192" s="8">
        <f t="shared" si="4"/>
        <v>52648733.870000005</v>
      </c>
      <c r="I192" s="10" t="s">
        <v>15</v>
      </c>
      <c r="J192" s="10">
        <f t="shared" si="5"/>
        <v>4</v>
      </c>
    </row>
    <row r="193" spans="1:10" x14ac:dyDescent="0.35">
      <c r="A193" s="11">
        <v>45770</v>
      </c>
      <c r="B193" s="11">
        <v>45770</v>
      </c>
      <c r="C193" t="s">
        <v>328</v>
      </c>
      <c r="D193" t="s">
        <v>17</v>
      </c>
      <c r="E193" s="9">
        <v>50</v>
      </c>
      <c r="F193" s="8"/>
      <c r="G193" s="8">
        <f t="shared" si="4"/>
        <v>52648683.870000005</v>
      </c>
      <c r="I193" s="10" t="s">
        <v>18</v>
      </c>
      <c r="J193" s="10">
        <f t="shared" si="5"/>
        <v>4</v>
      </c>
    </row>
    <row r="194" spans="1:10" x14ac:dyDescent="0.35">
      <c r="A194" s="11">
        <v>45770</v>
      </c>
      <c r="B194" s="11">
        <v>45770</v>
      </c>
      <c r="C194" t="s">
        <v>329</v>
      </c>
      <c r="D194" t="s">
        <v>330</v>
      </c>
      <c r="E194" s="9">
        <v>2851500</v>
      </c>
      <c r="F194" s="8"/>
      <c r="G194" s="8">
        <f t="shared" si="4"/>
        <v>49797183.870000005</v>
      </c>
      <c r="I194" s="10" t="s">
        <v>37</v>
      </c>
      <c r="J194" s="10">
        <f t="shared" si="5"/>
        <v>4</v>
      </c>
    </row>
    <row r="195" spans="1:10" x14ac:dyDescent="0.35">
      <c r="A195" s="11">
        <v>45771</v>
      </c>
      <c r="B195" s="11">
        <v>45771</v>
      </c>
      <c r="C195" t="s">
        <v>331</v>
      </c>
      <c r="D195" t="s">
        <v>62</v>
      </c>
      <c r="E195" s="9">
        <v>1071000</v>
      </c>
      <c r="F195" s="8"/>
      <c r="G195" s="8">
        <f t="shared" si="4"/>
        <v>48726183.870000005</v>
      </c>
      <c r="I195" s="10" t="s">
        <v>63</v>
      </c>
      <c r="J195" s="10">
        <f t="shared" si="5"/>
        <v>4</v>
      </c>
    </row>
    <row r="196" spans="1:10" x14ac:dyDescent="0.35">
      <c r="A196" s="11">
        <v>45775</v>
      </c>
      <c r="B196" s="11">
        <v>45775</v>
      </c>
      <c r="C196" t="s">
        <v>332</v>
      </c>
      <c r="D196" t="s">
        <v>333</v>
      </c>
      <c r="E196" s="8"/>
      <c r="F196" s="9">
        <v>2608029.0699999998</v>
      </c>
      <c r="G196" s="8">
        <f t="shared" si="4"/>
        <v>51334212.940000005</v>
      </c>
      <c r="I196" s="10" t="s">
        <v>40</v>
      </c>
      <c r="J196" s="10">
        <f t="shared" si="5"/>
        <v>4</v>
      </c>
    </row>
    <row r="197" spans="1:10" x14ac:dyDescent="0.35">
      <c r="A197" s="11">
        <v>45775</v>
      </c>
      <c r="B197" s="11">
        <v>45775</v>
      </c>
      <c r="C197" t="s">
        <v>334</v>
      </c>
      <c r="D197" t="s">
        <v>17</v>
      </c>
      <c r="E197" s="9">
        <v>50</v>
      </c>
      <c r="F197" s="8"/>
      <c r="G197" s="8">
        <f t="shared" si="4"/>
        <v>51334162.940000005</v>
      </c>
      <c r="I197" s="10" t="s">
        <v>18</v>
      </c>
      <c r="J197" s="10">
        <f t="shared" si="5"/>
        <v>4</v>
      </c>
    </row>
    <row r="198" spans="1:10" x14ac:dyDescent="0.35">
      <c r="A198" s="11">
        <v>45775</v>
      </c>
      <c r="B198" s="11">
        <v>45775</v>
      </c>
      <c r="C198" t="s">
        <v>335</v>
      </c>
      <c r="D198" t="s">
        <v>336</v>
      </c>
      <c r="E198" s="8"/>
      <c r="F198" s="9">
        <v>1951125</v>
      </c>
      <c r="G198" s="8">
        <f t="shared" ref="G198:G261" si="6">G197+F198-E198</f>
        <v>53285287.940000005</v>
      </c>
      <c r="I198" s="10" t="s">
        <v>15</v>
      </c>
      <c r="J198" s="10">
        <f t="shared" ref="J198:J261" si="7">MONTH(A198)</f>
        <v>4</v>
      </c>
    </row>
    <row r="199" spans="1:10" x14ac:dyDescent="0.35">
      <c r="A199" s="11">
        <v>45775</v>
      </c>
      <c r="B199" s="11">
        <v>45775</v>
      </c>
      <c r="C199" t="s">
        <v>337</v>
      </c>
      <c r="D199" t="s">
        <v>17</v>
      </c>
      <c r="E199" s="9">
        <v>50</v>
      </c>
      <c r="F199" s="8"/>
      <c r="G199" s="8">
        <f t="shared" si="6"/>
        <v>53285237.940000005</v>
      </c>
      <c r="I199" s="10" t="s">
        <v>18</v>
      </c>
      <c r="J199" s="10">
        <f t="shared" si="7"/>
        <v>4</v>
      </c>
    </row>
    <row r="200" spans="1:10" x14ac:dyDescent="0.35">
      <c r="A200" s="11">
        <v>45775</v>
      </c>
      <c r="B200" s="11">
        <v>45775</v>
      </c>
      <c r="C200" t="s">
        <v>338</v>
      </c>
      <c r="D200" t="s">
        <v>339</v>
      </c>
      <c r="E200" s="8"/>
      <c r="F200" s="9">
        <v>1951125</v>
      </c>
      <c r="G200" s="8">
        <f t="shared" si="6"/>
        <v>55236362.940000005</v>
      </c>
      <c r="I200" s="10" t="s">
        <v>15</v>
      </c>
      <c r="J200" s="10">
        <f t="shared" si="7"/>
        <v>4</v>
      </c>
    </row>
    <row r="201" spans="1:10" x14ac:dyDescent="0.35">
      <c r="A201" s="11">
        <v>45775</v>
      </c>
      <c r="B201" s="11">
        <v>45775</v>
      </c>
      <c r="C201" t="s">
        <v>340</v>
      </c>
      <c r="D201" t="s">
        <v>17</v>
      </c>
      <c r="E201" s="9">
        <v>50</v>
      </c>
      <c r="F201" s="8"/>
      <c r="G201" s="8">
        <f t="shared" si="6"/>
        <v>55236312.940000005</v>
      </c>
      <c r="I201" s="10" t="s">
        <v>18</v>
      </c>
      <c r="J201" s="10">
        <f t="shared" si="7"/>
        <v>4</v>
      </c>
    </row>
    <row r="202" spans="1:10" x14ac:dyDescent="0.35">
      <c r="A202" s="11">
        <v>45775</v>
      </c>
      <c r="B202" s="11">
        <v>45775</v>
      </c>
      <c r="C202" t="s">
        <v>341</v>
      </c>
      <c r="D202" t="s">
        <v>342</v>
      </c>
      <c r="E202" s="8"/>
      <c r="F202" s="9">
        <v>1561794.18</v>
      </c>
      <c r="G202" s="8">
        <f t="shared" si="6"/>
        <v>56798107.120000005</v>
      </c>
      <c r="I202" s="10" t="s">
        <v>27</v>
      </c>
      <c r="J202" s="10">
        <f t="shared" si="7"/>
        <v>4</v>
      </c>
    </row>
    <row r="203" spans="1:10" x14ac:dyDescent="0.35">
      <c r="A203" s="11">
        <v>45775</v>
      </c>
      <c r="B203" s="11">
        <v>45775</v>
      </c>
      <c r="C203" t="s">
        <v>343</v>
      </c>
      <c r="D203" t="s">
        <v>17</v>
      </c>
      <c r="E203" s="9">
        <v>50</v>
      </c>
      <c r="F203" s="8"/>
      <c r="G203" s="8">
        <f t="shared" si="6"/>
        <v>56798057.120000005</v>
      </c>
      <c r="I203" s="10" t="s">
        <v>18</v>
      </c>
      <c r="J203" s="10">
        <f t="shared" si="7"/>
        <v>4</v>
      </c>
    </row>
    <row r="204" spans="1:10" x14ac:dyDescent="0.35">
      <c r="A204" s="11">
        <v>45775</v>
      </c>
      <c r="B204" s="11">
        <v>45775</v>
      </c>
      <c r="C204" t="s">
        <v>344</v>
      </c>
      <c r="D204" t="s">
        <v>106</v>
      </c>
      <c r="E204" s="9">
        <v>4180000</v>
      </c>
      <c r="F204" s="8"/>
      <c r="G204" s="8">
        <f t="shared" si="6"/>
        <v>52618057.120000005</v>
      </c>
      <c r="I204" s="10" t="s">
        <v>107</v>
      </c>
      <c r="J204" s="10">
        <f t="shared" si="7"/>
        <v>4</v>
      </c>
    </row>
    <row r="205" spans="1:10" x14ac:dyDescent="0.35">
      <c r="A205" s="11">
        <v>45775</v>
      </c>
      <c r="B205" s="11">
        <v>45775</v>
      </c>
      <c r="C205" t="s">
        <v>345</v>
      </c>
      <c r="D205" t="s">
        <v>100</v>
      </c>
      <c r="E205" s="9">
        <v>149000</v>
      </c>
      <c r="F205" s="8"/>
      <c r="G205" s="8">
        <f t="shared" si="6"/>
        <v>52469057.120000005</v>
      </c>
      <c r="I205" s="10" t="s">
        <v>101</v>
      </c>
      <c r="J205" s="10">
        <f t="shared" si="7"/>
        <v>4</v>
      </c>
    </row>
    <row r="206" spans="1:10" x14ac:dyDescent="0.35">
      <c r="A206" s="11">
        <v>45777</v>
      </c>
      <c r="B206" s="11">
        <v>45777</v>
      </c>
      <c r="C206" t="s">
        <v>346</v>
      </c>
      <c r="D206" t="s">
        <v>113</v>
      </c>
      <c r="E206" s="9">
        <v>8113.71</v>
      </c>
      <c r="F206" s="8"/>
      <c r="G206" s="8">
        <f t="shared" si="6"/>
        <v>52460943.410000004</v>
      </c>
      <c r="I206" s="10" t="s">
        <v>114</v>
      </c>
      <c r="J206" s="10">
        <f t="shared" si="7"/>
        <v>4</v>
      </c>
    </row>
    <row r="207" spans="1:10" x14ac:dyDescent="0.35">
      <c r="A207" s="11">
        <v>45777</v>
      </c>
      <c r="B207" s="11">
        <v>45777</v>
      </c>
      <c r="C207" t="s">
        <v>347</v>
      </c>
      <c r="D207" t="s">
        <v>116</v>
      </c>
      <c r="E207" s="9">
        <v>1700</v>
      </c>
      <c r="F207" s="8"/>
      <c r="G207" s="8">
        <f t="shared" si="6"/>
        <v>52459243.410000004</v>
      </c>
      <c r="I207" s="10" t="s">
        <v>117</v>
      </c>
      <c r="J207" s="10">
        <f t="shared" si="7"/>
        <v>4</v>
      </c>
    </row>
    <row r="208" spans="1:10" x14ac:dyDescent="0.35">
      <c r="A208" s="11">
        <v>45777</v>
      </c>
      <c r="B208" s="11">
        <v>45777</v>
      </c>
      <c r="C208" t="s">
        <v>348</v>
      </c>
      <c r="D208" t="s">
        <v>119</v>
      </c>
      <c r="E208" s="9">
        <v>136</v>
      </c>
      <c r="F208" s="8"/>
      <c r="G208" s="8">
        <f t="shared" si="6"/>
        <v>52459107.410000004</v>
      </c>
      <c r="I208" s="10" t="s">
        <v>120</v>
      </c>
      <c r="J208" s="10">
        <f t="shared" si="7"/>
        <v>4</v>
      </c>
    </row>
    <row r="209" spans="1:10" x14ac:dyDescent="0.35">
      <c r="A209" s="11">
        <v>45777</v>
      </c>
      <c r="B209" s="11">
        <v>45777</v>
      </c>
      <c r="C209" t="s">
        <v>349</v>
      </c>
      <c r="D209" t="s">
        <v>122</v>
      </c>
      <c r="E209" s="9">
        <v>137.69999999999999</v>
      </c>
      <c r="F209" s="8"/>
      <c r="G209" s="8">
        <f t="shared" si="6"/>
        <v>52458969.710000001</v>
      </c>
      <c r="I209" s="10" t="s">
        <v>123</v>
      </c>
      <c r="J209" s="10">
        <f t="shared" si="7"/>
        <v>4</v>
      </c>
    </row>
    <row r="210" spans="1:10" x14ac:dyDescent="0.35">
      <c r="A210" s="11">
        <v>45779</v>
      </c>
      <c r="B210" s="11">
        <v>45779</v>
      </c>
      <c r="C210" t="s">
        <v>350</v>
      </c>
      <c r="D210" t="s">
        <v>351</v>
      </c>
      <c r="E210" s="8"/>
      <c r="F210" s="9">
        <v>3911686.05</v>
      </c>
      <c r="G210" s="8">
        <f t="shared" si="6"/>
        <v>56370655.759999998</v>
      </c>
      <c r="I210" s="10" t="s">
        <v>40</v>
      </c>
      <c r="J210" s="10">
        <f t="shared" si="7"/>
        <v>5</v>
      </c>
    </row>
    <row r="211" spans="1:10" x14ac:dyDescent="0.35">
      <c r="A211" s="11">
        <v>45779</v>
      </c>
      <c r="B211" s="11">
        <v>45779</v>
      </c>
      <c r="C211" t="s">
        <v>352</v>
      </c>
      <c r="D211" t="s">
        <v>17</v>
      </c>
      <c r="E211" s="9">
        <v>50</v>
      </c>
      <c r="F211" s="8"/>
      <c r="G211" s="8">
        <f t="shared" si="6"/>
        <v>56370605.759999998</v>
      </c>
      <c r="I211" s="10" t="s">
        <v>18</v>
      </c>
      <c r="J211" s="10">
        <f t="shared" si="7"/>
        <v>5</v>
      </c>
    </row>
    <row r="212" spans="1:10" x14ac:dyDescent="0.35">
      <c r="A212" s="11">
        <v>45782</v>
      </c>
      <c r="B212" s="11">
        <v>45782</v>
      </c>
      <c r="C212" t="s">
        <v>353</v>
      </c>
      <c r="D212" t="s">
        <v>354</v>
      </c>
      <c r="E212" s="8"/>
      <c r="F212" s="9">
        <v>2747250</v>
      </c>
      <c r="G212" s="8">
        <f t="shared" si="6"/>
        <v>59117855.759999998</v>
      </c>
      <c r="I212" s="10" t="s">
        <v>15</v>
      </c>
      <c r="J212" s="10">
        <f t="shared" si="7"/>
        <v>5</v>
      </c>
    </row>
    <row r="213" spans="1:10" x14ac:dyDescent="0.35">
      <c r="A213" s="11">
        <v>45782</v>
      </c>
      <c r="B213" s="11">
        <v>45782</v>
      </c>
      <c r="C213" t="s">
        <v>355</v>
      </c>
      <c r="D213" t="s">
        <v>17</v>
      </c>
      <c r="E213" s="9">
        <v>50</v>
      </c>
      <c r="F213" s="8"/>
      <c r="G213" s="8">
        <f t="shared" si="6"/>
        <v>59117805.759999998</v>
      </c>
      <c r="I213" s="10" t="s">
        <v>18</v>
      </c>
      <c r="J213" s="10">
        <f t="shared" si="7"/>
        <v>5</v>
      </c>
    </row>
    <row r="214" spans="1:10" x14ac:dyDescent="0.35">
      <c r="A214" s="11">
        <v>45782</v>
      </c>
      <c r="B214" s="11">
        <v>45782</v>
      </c>
      <c r="C214" t="s">
        <v>356</v>
      </c>
      <c r="D214" t="s">
        <v>357</v>
      </c>
      <c r="E214" s="9">
        <v>3118500</v>
      </c>
      <c r="F214" s="8"/>
      <c r="G214" s="8">
        <f t="shared" si="6"/>
        <v>55999305.759999998</v>
      </c>
      <c r="I214" s="10" t="s">
        <v>37</v>
      </c>
      <c r="J214" s="10">
        <f t="shared" si="7"/>
        <v>5</v>
      </c>
    </row>
    <row r="215" spans="1:10" x14ac:dyDescent="0.35">
      <c r="A215" s="11">
        <v>45782</v>
      </c>
      <c r="B215" s="11">
        <v>45782</v>
      </c>
      <c r="C215" t="s">
        <v>358</v>
      </c>
      <c r="D215" t="s">
        <v>30</v>
      </c>
      <c r="E215" s="9">
        <v>402000</v>
      </c>
      <c r="F215" s="8"/>
      <c r="G215" s="8">
        <f t="shared" si="6"/>
        <v>55597305.759999998</v>
      </c>
      <c r="I215" s="10" t="s">
        <v>31</v>
      </c>
      <c r="J215" s="10">
        <f t="shared" si="7"/>
        <v>5</v>
      </c>
    </row>
    <row r="216" spans="1:10" x14ac:dyDescent="0.35">
      <c r="A216" s="11">
        <v>45782</v>
      </c>
      <c r="B216" s="11">
        <v>45782</v>
      </c>
      <c r="C216" t="s">
        <v>359</v>
      </c>
      <c r="D216" t="s">
        <v>20</v>
      </c>
      <c r="E216" s="9">
        <v>147300</v>
      </c>
      <c r="F216" s="8"/>
      <c r="G216" s="8">
        <f t="shared" si="6"/>
        <v>55450005.759999998</v>
      </c>
      <c r="I216" s="10" t="s">
        <v>21</v>
      </c>
      <c r="J216" s="10">
        <f t="shared" si="7"/>
        <v>5</v>
      </c>
    </row>
    <row r="217" spans="1:10" x14ac:dyDescent="0.35">
      <c r="A217" s="11">
        <v>45782</v>
      </c>
      <c r="B217" s="11">
        <v>45782</v>
      </c>
      <c r="C217" t="s">
        <v>360</v>
      </c>
      <c r="D217" t="s">
        <v>361</v>
      </c>
      <c r="E217" s="9">
        <v>1891191.93</v>
      </c>
      <c r="F217" s="8"/>
      <c r="G217" s="8">
        <f t="shared" si="6"/>
        <v>53558813.829999998</v>
      </c>
      <c r="I217" s="10" t="s">
        <v>282</v>
      </c>
      <c r="J217" s="10">
        <f t="shared" si="7"/>
        <v>5</v>
      </c>
    </row>
    <row r="218" spans="1:10" x14ac:dyDescent="0.35">
      <c r="A218" s="11">
        <v>45783</v>
      </c>
      <c r="B218" s="11">
        <v>45783</v>
      </c>
      <c r="C218" t="s">
        <v>362</v>
      </c>
      <c r="D218" t="s">
        <v>363</v>
      </c>
      <c r="E218" s="8"/>
      <c r="F218" s="9">
        <v>1446854.37</v>
      </c>
      <c r="G218" s="8">
        <f t="shared" si="6"/>
        <v>55005668.199999996</v>
      </c>
      <c r="I218" s="10" t="s">
        <v>27</v>
      </c>
      <c r="J218" s="10">
        <f t="shared" si="7"/>
        <v>5</v>
      </c>
    </row>
    <row r="219" spans="1:10" x14ac:dyDescent="0.35">
      <c r="A219" s="11">
        <v>45783</v>
      </c>
      <c r="B219" s="11">
        <v>45783</v>
      </c>
      <c r="C219" t="s">
        <v>364</v>
      </c>
      <c r="D219" t="s">
        <v>17</v>
      </c>
      <c r="E219" s="9">
        <v>50</v>
      </c>
      <c r="F219" s="8"/>
      <c r="G219" s="8">
        <f t="shared" si="6"/>
        <v>55005618.199999996</v>
      </c>
      <c r="I219" s="10" t="s">
        <v>18</v>
      </c>
      <c r="J219" s="10">
        <f t="shared" si="7"/>
        <v>5</v>
      </c>
    </row>
    <row r="220" spans="1:10" x14ac:dyDescent="0.35">
      <c r="A220" s="11">
        <v>45783</v>
      </c>
      <c r="B220" s="11">
        <v>45783</v>
      </c>
      <c r="C220" t="s">
        <v>365</v>
      </c>
      <c r="D220" t="s">
        <v>366</v>
      </c>
      <c r="E220" s="9">
        <v>2584500</v>
      </c>
      <c r="F220" s="8"/>
      <c r="G220" s="8">
        <f t="shared" si="6"/>
        <v>52421118.199999996</v>
      </c>
      <c r="I220" s="10" t="s">
        <v>37</v>
      </c>
      <c r="J220" s="10">
        <f t="shared" si="7"/>
        <v>5</v>
      </c>
    </row>
    <row r="221" spans="1:10" x14ac:dyDescent="0.35">
      <c r="A221" s="11">
        <v>45784</v>
      </c>
      <c r="B221" s="11">
        <v>45784</v>
      </c>
      <c r="C221" t="s">
        <v>367</v>
      </c>
      <c r="D221" t="s">
        <v>368</v>
      </c>
      <c r="E221" s="8"/>
      <c r="F221" s="9">
        <v>3760000</v>
      </c>
      <c r="G221" s="8">
        <f t="shared" si="6"/>
        <v>56181118.199999996</v>
      </c>
      <c r="I221" s="10" t="s">
        <v>15</v>
      </c>
      <c r="J221" s="10">
        <f t="shared" si="7"/>
        <v>5</v>
      </c>
    </row>
    <row r="222" spans="1:10" x14ac:dyDescent="0.35">
      <c r="A222" s="11">
        <v>45784</v>
      </c>
      <c r="B222" s="11">
        <v>45784</v>
      </c>
      <c r="C222" t="s">
        <v>369</v>
      </c>
      <c r="D222" t="s">
        <v>17</v>
      </c>
      <c r="E222" s="9">
        <v>50</v>
      </c>
      <c r="F222" s="8"/>
      <c r="G222" s="8">
        <f t="shared" si="6"/>
        <v>56181068.199999996</v>
      </c>
      <c r="I222" s="10" t="s">
        <v>18</v>
      </c>
      <c r="J222" s="10">
        <f t="shared" si="7"/>
        <v>5</v>
      </c>
    </row>
    <row r="223" spans="1:10" x14ac:dyDescent="0.35">
      <c r="A223" s="11">
        <v>45786</v>
      </c>
      <c r="B223" s="11">
        <v>45786</v>
      </c>
      <c r="C223" t="s">
        <v>370</v>
      </c>
      <c r="D223" t="s">
        <v>371</v>
      </c>
      <c r="E223" s="9">
        <v>3427000</v>
      </c>
      <c r="F223" s="8"/>
      <c r="G223" s="8">
        <f t="shared" si="6"/>
        <v>52754068.199999996</v>
      </c>
      <c r="I223" s="10" t="s">
        <v>37</v>
      </c>
      <c r="J223" s="10">
        <f t="shared" si="7"/>
        <v>5</v>
      </c>
    </row>
    <row r="224" spans="1:10" x14ac:dyDescent="0.35">
      <c r="A224" s="11">
        <v>45789</v>
      </c>
      <c r="B224" s="11">
        <v>45789</v>
      </c>
      <c r="C224" t="s">
        <v>372</v>
      </c>
      <c r="D224" t="s">
        <v>373</v>
      </c>
      <c r="E224" s="8"/>
      <c r="F224" s="9">
        <v>1438625</v>
      </c>
      <c r="G224" s="8">
        <f t="shared" si="6"/>
        <v>54192693.199999996</v>
      </c>
      <c r="I224" s="10" t="s">
        <v>15</v>
      </c>
      <c r="J224" s="10">
        <f t="shared" si="7"/>
        <v>5</v>
      </c>
    </row>
    <row r="225" spans="1:10" x14ac:dyDescent="0.35">
      <c r="A225" s="11">
        <v>45789</v>
      </c>
      <c r="B225" s="11">
        <v>45789</v>
      </c>
      <c r="C225" t="s">
        <v>374</v>
      </c>
      <c r="D225" t="s">
        <v>17</v>
      </c>
      <c r="E225" s="9">
        <v>50</v>
      </c>
      <c r="F225" s="8"/>
      <c r="G225" s="8">
        <f t="shared" si="6"/>
        <v>54192643.199999996</v>
      </c>
      <c r="I225" s="10" t="s">
        <v>18</v>
      </c>
      <c r="J225" s="10">
        <f t="shared" si="7"/>
        <v>5</v>
      </c>
    </row>
    <row r="226" spans="1:10" x14ac:dyDescent="0.35">
      <c r="A226" s="11">
        <v>45789</v>
      </c>
      <c r="B226" s="11">
        <v>45789</v>
      </c>
      <c r="C226" t="s">
        <v>375</v>
      </c>
      <c r="D226" t="s">
        <v>45</v>
      </c>
      <c r="E226" s="9">
        <v>520000</v>
      </c>
      <c r="F226" s="8"/>
      <c r="G226" s="8">
        <f t="shared" si="6"/>
        <v>53672643.199999996</v>
      </c>
      <c r="I226" s="10" t="s">
        <v>46</v>
      </c>
      <c r="J226" s="10">
        <f t="shared" si="7"/>
        <v>5</v>
      </c>
    </row>
    <row r="227" spans="1:10" x14ac:dyDescent="0.35">
      <c r="A227" s="11">
        <v>45789</v>
      </c>
      <c r="B227" s="11">
        <v>45789</v>
      </c>
      <c r="C227" t="s">
        <v>376</v>
      </c>
      <c r="D227" t="s">
        <v>48</v>
      </c>
      <c r="E227" s="9">
        <v>680000</v>
      </c>
      <c r="F227" s="8"/>
      <c r="G227" s="8">
        <f t="shared" si="6"/>
        <v>52992643.199999996</v>
      </c>
      <c r="I227" s="10" t="s">
        <v>49</v>
      </c>
      <c r="J227" s="10">
        <f t="shared" si="7"/>
        <v>5</v>
      </c>
    </row>
    <row r="228" spans="1:10" x14ac:dyDescent="0.35">
      <c r="A228" s="11">
        <v>45789</v>
      </c>
      <c r="B228" s="11">
        <v>45789</v>
      </c>
      <c r="C228" t="s">
        <v>377</v>
      </c>
      <c r="D228" t="s">
        <v>65</v>
      </c>
      <c r="E228" s="9">
        <v>817000</v>
      </c>
      <c r="F228" s="8"/>
      <c r="G228" s="8">
        <f t="shared" si="6"/>
        <v>52175643.199999996</v>
      </c>
      <c r="I228" s="10" t="s">
        <v>31</v>
      </c>
      <c r="J228" s="10">
        <f t="shared" si="7"/>
        <v>5</v>
      </c>
    </row>
    <row r="229" spans="1:10" x14ac:dyDescent="0.35">
      <c r="A229" s="11">
        <v>45790</v>
      </c>
      <c r="B229" s="11">
        <v>45790</v>
      </c>
      <c r="C229" t="s">
        <v>378</v>
      </c>
      <c r="D229" t="s">
        <v>379</v>
      </c>
      <c r="E229" s="8"/>
      <c r="F229" s="9">
        <v>1244966.26</v>
      </c>
      <c r="G229" s="8">
        <f t="shared" si="6"/>
        <v>53420609.459999993</v>
      </c>
      <c r="I229" s="10" t="s">
        <v>27</v>
      </c>
      <c r="J229" s="10">
        <f t="shared" si="7"/>
        <v>5</v>
      </c>
    </row>
    <row r="230" spans="1:10" x14ac:dyDescent="0.35">
      <c r="A230" s="11">
        <v>45790</v>
      </c>
      <c r="B230" s="11">
        <v>45790</v>
      </c>
      <c r="C230" t="s">
        <v>380</v>
      </c>
      <c r="D230" t="s">
        <v>17</v>
      </c>
      <c r="E230" s="9">
        <v>50</v>
      </c>
      <c r="F230" s="8"/>
      <c r="G230" s="8">
        <f t="shared" si="6"/>
        <v>53420559.459999993</v>
      </c>
      <c r="I230" s="10" t="s">
        <v>18</v>
      </c>
      <c r="J230" s="10">
        <f t="shared" si="7"/>
        <v>5</v>
      </c>
    </row>
    <row r="231" spans="1:10" x14ac:dyDescent="0.35">
      <c r="A231" s="11">
        <v>45792</v>
      </c>
      <c r="B231" s="11">
        <v>45792</v>
      </c>
      <c r="C231" t="s">
        <v>381</v>
      </c>
      <c r="D231" t="s">
        <v>70</v>
      </c>
      <c r="E231" s="9">
        <v>53600</v>
      </c>
      <c r="F231" s="8"/>
      <c r="G231" s="8">
        <f t="shared" si="6"/>
        <v>53366959.459999993</v>
      </c>
      <c r="I231" s="10" t="s">
        <v>71</v>
      </c>
      <c r="J231" s="10">
        <f t="shared" si="7"/>
        <v>5</v>
      </c>
    </row>
    <row r="232" spans="1:10" x14ac:dyDescent="0.35">
      <c r="A232" s="11">
        <v>45795</v>
      </c>
      <c r="B232" s="11">
        <v>45795</v>
      </c>
      <c r="C232" t="s">
        <v>382</v>
      </c>
      <c r="D232" t="s">
        <v>383</v>
      </c>
      <c r="E232" s="9">
        <v>8568000</v>
      </c>
      <c r="F232" s="8"/>
      <c r="G232" s="8">
        <f t="shared" si="6"/>
        <v>44798959.459999993</v>
      </c>
      <c r="I232" s="10" t="s">
        <v>37</v>
      </c>
      <c r="J232" s="10">
        <f t="shared" si="7"/>
        <v>5</v>
      </c>
    </row>
    <row r="233" spans="1:10" x14ac:dyDescent="0.35">
      <c r="A233" s="11">
        <v>45795</v>
      </c>
      <c r="B233" s="11">
        <v>45795</v>
      </c>
      <c r="C233" t="s">
        <v>384</v>
      </c>
      <c r="D233" t="s">
        <v>146</v>
      </c>
      <c r="E233" s="9">
        <v>42500</v>
      </c>
      <c r="F233" s="8"/>
      <c r="G233" s="8">
        <f t="shared" si="6"/>
        <v>44756459.459999993</v>
      </c>
      <c r="I233" s="10" t="s">
        <v>147</v>
      </c>
      <c r="J233" s="10">
        <f t="shared" si="7"/>
        <v>5</v>
      </c>
    </row>
    <row r="234" spans="1:10" x14ac:dyDescent="0.35">
      <c r="A234" s="11">
        <v>45796</v>
      </c>
      <c r="B234" s="11">
        <v>45796</v>
      </c>
      <c r="C234" t="s">
        <v>385</v>
      </c>
      <c r="D234" t="s">
        <v>141</v>
      </c>
      <c r="E234" s="9">
        <v>411000</v>
      </c>
      <c r="F234" s="8"/>
      <c r="G234" s="8">
        <f t="shared" si="6"/>
        <v>44345459.459999993</v>
      </c>
      <c r="I234" s="10" t="s">
        <v>77</v>
      </c>
      <c r="J234" s="10">
        <f t="shared" si="7"/>
        <v>5</v>
      </c>
    </row>
    <row r="235" spans="1:10" x14ac:dyDescent="0.35">
      <c r="A235" s="11">
        <v>45796</v>
      </c>
      <c r="B235" s="11">
        <v>45796</v>
      </c>
      <c r="C235" t="s">
        <v>386</v>
      </c>
      <c r="D235" t="s">
        <v>387</v>
      </c>
      <c r="E235" s="8"/>
      <c r="F235" s="9">
        <v>3500000</v>
      </c>
      <c r="G235" s="8">
        <f t="shared" si="6"/>
        <v>47845459.459999993</v>
      </c>
      <c r="I235" s="10" t="s">
        <v>388</v>
      </c>
      <c r="J235" s="10">
        <f t="shared" si="7"/>
        <v>5</v>
      </c>
    </row>
    <row r="236" spans="1:10" x14ac:dyDescent="0.35">
      <c r="A236" s="11">
        <v>45796</v>
      </c>
      <c r="B236" s="11">
        <v>45796</v>
      </c>
      <c r="C236" t="s">
        <v>389</v>
      </c>
      <c r="D236" t="s">
        <v>17</v>
      </c>
      <c r="E236" s="9">
        <v>50</v>
      </c>
      <c r="F236" s="8"/>
      <c r="G236" s="8">
        <f t="shared" si="6"/>
        <v>47845409.459999993</v>
      </c>
      <c r="I236" s="10" t="s">
        <v>18</v>
      </c>
      <c r="J236" s="10">
        <f t="shared" si="7"/>
        <v>5</v>
      </c>
    </row>
    <row r="237" spans="1:10" x14ac:dyDescent="0.35">
      <c r="A237" s="11">
        <v>45797</v>
      </c>
      <c r="B237" s="11">
        <v>45797</v>
      </c>
      <c r="C237" t="s">
        <v>390</v>
      </c>
      <c r="D237" t="s">
        <v>391</v>
      </c>
      <c r="E237" s="8"/>
      <c r="F237" s="9">
        <v>1487824.43</v>
      </c>
      <c r="G237" s="8">
        <f t="shared" si="6"/>
        <v>49333233.889999993</v>
      </c>
      <c r="I237" s="10" t="s">
        <v>27</v>
      </c>
      <c r="J237" s="10">
        <f t="shared" si="7"/>
        <v>5</v>
      </c>
    </row>
    <row r="238" spans="1:10" x14ac:dyDescent="0.35">
      <c r="A238" s="11">
        <v>45797</v>
      </c>
      <c r="B238" s="11">
        <v>45797</v>
      </c>
      <c r="C238" t="s">
        <v>392</v>
      </c>
      <c r="D238" t="s">
        <v>17</v>
      </c>
      <c r="E238" s="9">
        <v>50</v>
      </c>
      <c r="F238" s="8"/>
      <c r="G238" s="8">
        <f t="shared" si="6"/>
        <v>49333183.889999993</v>
      </c>
      <c r="I238" s="10" t="s">
        <v>18</v>
      </c>
      <c r="J238" s="10">
        <f t="shared" si="7"/>
        <v>5</v>
      </c>
    </row>
    <row r="239" spans="1:10" x14ac:dyDescent="0.35">
      <c r="A239" s="11">
        <v>45798</v>
      </c>
      <c r="B239" s="11">
        <v>45798</v>
      </c>
      <c r="C239" t="s">
        <v>393</v>
      </c>
      <c r="D239" t="s">
        <v>394</v>
      </c>
      <c r="E239" s="8"/>
      <c r="F239" s="9">
        <v>1438625</v>
      </c>
      <c r="G239" s="8">
        <f t="shared" si="6"/>
        <v>50771808.889999993</v>
      </c>
      <c r="I239" s="10" t="s">
        <v>15</v>
      </c>
      <c r="J239" s="10">
        <f t="shared" si="7"/>
        <v>5</v>
      </c>
    </row>
    <row r="240" spans="1:10" x14ac:dyDescent="0.35">
      <c r="A240" s="11">
        <v>45798</v>
      </c>
      <c r="B240" s="11">
        <v>45798</v>
      </c>
      <c r="C240" t="s">
        <v>395</v>
      </c>
      <c r="D240" t="s">
        <v>17</v>
      </c>
      <c r="E240" s="9">
        <v>50</v>
      </c>
      <c r="F240" s="8"/>
      <c r="G240" s="8">
        <f t="shared" si="6"/>
        <v>50771758.889999993</v>
      </c>
      <c r="I240" s="10" t="s">
        <v>18</v>
      </c>
      <c r="J240" s="10">
        <f t="shared" si="7"/>
        <v>5</v>
      </c>
    </row>
    <row r="241" spans="1:10" x14ac:dyDescent="0.35">
      <c r="A241" s="11">
        <v>45798</v>
      </c>
      <c r="B241" s="11">
        <v>45798</v>
      </c>
      <c r="C241" t="s">
        <v>396</v>
      </c>
      <c r="D241" t="s">
        <v>62</v>
      </c>
      <c r="E241" s="9">
        <v>1233000</v>
      </c>
      <c r="F241" s="8"/>
      <c r="G241" s="8">
        <f t="shared" si="6"/>
        <v>49538758.889999993</v>
      </c>
      <c r="I241" s="10" t="s">
        <v>63</v>
      </c>
      <c r="J241" s="10">
        <f t="shared" si="7"/>
        <v>5</v>
      </c>
    </row>
    <row r="242" spans="1:10" x14ac:dyDescent="0.35">
      <c r="A242" s="11">
        <v>45798</v>
      </c>
      <c r="B242" s="11">
        <v>45798</v>
      </c>
      <c r="C242" t="s">
        <v>397</v>
      </c>
      <c r="D242" t="s">
        <v>85</v>
      </c>
      <c r="E242" s="9">
        <v>1630200</v>
      </c>
      <c r="F242" s="8"/>
      <c r="G242" s="8">
        <f t="shared" si="6"/>
        <v>47908558.889999993</v>
      </c>
      <c r="I242" s="10" t="s">
        <v>86</v>
      </c>
      <c r="J242" s="10">
        <f t="shared" si="7"/>
        <v>5</v>
      </c>
    </row>
    <row r="243" spans="1:10" x14ac:dyDescent="0.35">
      <c r="A243" s="11">
        <v>45799</v>
      </c>
      <c r="B243" s="11">
        <v>45799</v>
      </c>
      <c r="C243" t="s">
        <v>398</v>
      </c>
      <c r="D243" t="s">
        <v>399</v>
      </c>
      <c r="E243" s="8"/>
      <c r="F243" s="9">
        <v>2660709.2999999998</v>
      </c>
      <c r="G243" s="8">
        <f t="shared" si="6"/>
        <v>50569268.18999999</v>
      </c>
      <c r="I243" s="10" t="s">
        <v>40</v>
      </c>
      <c r="J243" s="10">
        <f t="shared" si="7"/>
        <v>5</v>
      </c>
    </row>
    <row r="244" spans="1:10" x14ac:dyDescent="0.35">
      <c r="A244" s="11">
        <v>45799</v>
      </c>
      <c r="B244" s="11">
        <v>45799</v>
      </c>
      <c r="C244" t="s">
        <v>400</v>
      </c>
      <c r="D244" t="s">
        <v>17</v>
      </c>
      <c r="E244" s="9">
        <v>50</v>
      </c>
      <c r="F244" s="8"/>
      <c r="G244" s="8">
        <f t="shared" si="6"/>
        <v>50569218.18999999</v>
      </c>
      <c r="I244" s="10" t="s">
        <v>18</v>
      </c>
      <c r="J244" s="10">
        <f t="shared" si="7"/>
        <v>5</v>
      </c>
    </row>
    <row r="245" spans="1:10" x14ac:dyDescent="0.35">
      <c r="A245" s="11">
        <v>45803</v>
      </c>
      <c r="B245" s="11">
        <v>45803</v>
      </c>
      <c r="C245" t="s">
        <v>401</v>
      </c>
      <c r="D245" t="s">
        <v>402</v>
      </c>
      <c r="E245" s="8"/>
      <c r="F245" s="9">
        <v>3316500</v>
      </c>
      <c r="G245" s="8">
        <f t="shared" si="6"/>
        <v>53885718.18999999</v>
      </c>
      <c r="I245" s="10" t="s">
        <v>15</v>
      </c>
      <c r="J245" s="10">
        <f t="shared" si="7"/>
        <v>5</v>
      </c>
    </row>
    <row r="246" spans="1:10" x14ac:dyDescent="0.35">
      <c r="A246" s="11">
        <v>45803</v>
      </c>
      <c r="B246" s="11">
        <v>45803</v>
      </c>
      <c r="C246" t="s">
        <v>403</v>
      </c>
      <c r="D246" t="s">
        <v>17</v>
      </c>
      <c r="E246" s="9">
        <v>50</v>
      </c>
      <c r="F246" s="8"/>
      <c r="G246" s="8">
        <f t="shared" si="6"/>
        <v>53885668.18999999</v>
      </c>
      <c r="I246" s="10" t="s">
        <v>18</v>
      </c>
      <c r="J246" s="10">
        <f t="shared" si="7"/>
        <v>5</v>
      </c>
    </row>
    <row r="247" spans="1:10" x14ac:dyDescent="0.35">
      <c r="A247" s="11">
        <v>45803</v>
      </c>
      <c r="B247" s="11">
        <v>45803</v>
      </c>
      <c r="C247" t="s">
        <v>404</v>
      </c>
      <c r="D247" t="s">
        <v>405</v>
      </c>
      <c r="E247" s="8"/>
      <c r="F247" s="9">
        <v>3773500</v>
      </c>
      <c r="G247" s="8">
        <f t="shared" si="6"/>
        <v>57659168.18999999</v>
      </c>
      <c r="I247" s="10" t="s">
        <v>15</v>
      </c>
      <c r="J247" s="10">
        <f t="shared" si="7"/>
        <v>5</v>
      </c>
    </row>
    <row r="248" spans="1:10" x14ac:dyDescent="0.35">
      <c r="A248" s="11">
        <v>45803</v>
      </c>
      <c r="B248" s="11">
        <v>45803</v>
      </c>
      <c r="C248" t="s">
        <v>406</v>
      </c>
      <c r="D248" t="s">
        <v>17</v>
      </c>
      <c r="E248" s="9">
        <v>50</v>
      </c>
      <c r="F248" s="8"/>
      <c r="G248" s="8">
        <f t="shared" si="6"/>
        <v>57659118.18999999</v>
      </c>
      <c r="I248" s="10" t="s">
        <v>18</v>
      </c>
      <c r="J248" s="10">
        <f t="shared" si="7"/>
        <v>5</v>
      </c>
    </row>
    <row r="249" spans="1:10" x14ac:dyDescent="0.35">
      <c r="A249" s="11">
        <v>45803</v>
      </c>
      <c r="B249" s="11">
        <v>45803</v>
      </c>
      <c r="C249" t="s">
        <v>407</v>
      </c>
      <c r="D249" t="s">
        <v>408</v>
      </c>
      <c r="E249" s="8"/>
      <c r="F249" s="9">
        <v>2635250</v>
      </c>
      <c r="G249" s="8">
        <f t="shared" si="6"/>
        <v>60294368.18999999</v>
      </c>
      <c r="I249" s="10" t="s">
        <v>15</v>
      </c>
      <c r="J249" s="10">
        <f t="shared" si="7"/>
        <v>5</v>
      </c>
    </row>
    <row r="250" spans="1:10" x14ac:dyDescent="0.35">
      <c r="A250" s="11">
        <v>45803</v>
      </c>
      <c r="B250" s="11">
        <v>45803</v>
      </c>
      <c r="C250" t="s">
        <v>409</v>
      </c>
      <c r="D250" t="s">
        <v>17</v>
      </c>
      <c r="E250" s="9">
        <v>50</v>
      </c>
      <c r="F250" s="8"/>
      <c r="G250" s="8">
        <f t="shared" si="6"/>
        <v>60294318.18999999</v>
      </c>
      <c r="I250" s="10" t="s">
        <v>18</v>
      </c>
      <c r="J250" s="10">
        <f t="shared" si="7"/>
        <v>5</v>
      </c>
    </row>
    <row r="251" spans="1:10" x14ac:dyDescent="0.35">
      <c r="A251" s="11">
        <v>45803</v>
      </c>
      <c r="B251" s="11">
        <v>45803</v>
      </c>
      <c r="C251" t="s">
        <v>410</v>
      </c>
      <c r="D251" t="s">
        <v>62</v>
      </c>
      <c r="E251" s="9">
        <v>663000</v>
      </c>
      <c r="F251" s="8"/>
      <c r="G251" s="8">
        <f t="shared" si="6"/>
        <v>59631318.18999999</v>
      </c>
      <c r="I251" s="10" t="s">
        <v>63</v>
      </c>
      <c r="J251" s="10">
        <f t="shared" si="7"/>
        <v>5</v>
      </c>
    </row>
    <row r="252" spans="1:10" x14ac:dyDescent="0.35">
      <c r="A252" s="11">
        <v>45803</v>
      </c>
      <c r="B252" s="11">
        <v>45803</v>
      </c>
      <c r="C252" t="s">
        <v>411</v>
      </c>
      <c r="D252" t="s">
        <v>100</v>
      </c>
      <c r="E252" s="9">
        <v>200000</v>
      </c>
      <c r="F252" s="8"/>
      <c r="G252" s="8">
        <f t="shared" si="6"/>
        <v>59431318.18999999</v>
      </c>
      <c r="I252" s="10" t="s">
        <v>101</v>
      </c>
      <c r="J252" s="10">
        <f t="shared" si="7"/>
        <v>5</v>
      </c>
    </row>
    <row r="253" spans="1:10" x14ac:dyDescent="0.35">
      <c r="A253" s="11">
        <v>45804</v>
      </c>
      <c r="B253" s="11">
        <v>45804</v>
      </c>
      <c r="C253" t="s">
        <v>412</v>
      </c>
      <c r="D253" t="s">
        <v>413</v>
      </c>
      <c r="E253" s="8"/>
      <c r="F253" s="9">
        <v>1326259.3600000001</v>
      </c>
      <c r="G253" s="8">
        <f t="shared" si="6"/>
        <v>60757577.54999999</v>
      </c>
      <c r="I253" s="10" t="s">
        <v>27</v>
      </c>
      <c r="J253" s="10">
        <f t="shared" si="7"/>
        <v>5</v>
      </c>
    </row>
    <row r="254" spans="1:10" x14ac:dyDescent="0.35">
      <c r="A254" s="11">
        <v>45804</v>
      </c>
      <c r="B254" s="11">
        <v>45804</v>
      </c>
      <c r="C254" t="s">
        <v>414</v>
      </c>
      <c r="D254" t="s">
        <v>17</v>
      </c>
      <c r="E254" s="9">
        <v>50</v>
      </c>
      <c r="F254" s="8"/>
      <c r="G254" s="8">
        <f t="shared" si="6"/>
        <v>60757527.54999999</v>
      </c>
      <c r="I254" s="10" t="s">
        <v>18</v>
      </c>
      <c r="J254" s="10">
        <f t="shared" si="7"/>
        <v>5</v>
      </c>
    </row>
    <row r="255" spans="1:10" x14ac:dyDescent="0.35">
      <c r="A255" s="11">
        <v>45805</v>
      </c>
      <c r="B255" s="11">
        <v>45805</v>
      </c>
      <c r="C255" t="s">
        <v>415</v>
      </c>
      <c r="D255" t="s">
        <v>106</v>
      </c>
      <c r="E255" s="9">
        <v>4180000</v>
      </c>
      <c r="F255" s="8"/>
      <c r="G255" s="8">
        <f t="shared" si="6"/>
        <v>56577527.54999999</v>
      </c>
      <c r="I255" s="10" t="s">
        <v>107</v>
      </c>
      <c r="J255" s="10">
        <f t="shared" si="7"/>
        <v>5</v>
      </c>
    </row>
    <row r="256" spans="1:10" x14ac:dyDescent="0.35">
      <c r="A256" s="11">
        <v>45805</v>
      </c>
      <c r="B256" s="11">
        <v>45805</v>
      </c>
      <c r="C256" t="s">
        <v>416</v>
      </c>
      <c r="D256" t="s">
        <v>417</v>
      </c>
      <c r="E256" s="8"/>
      <c r="F256" s="9">
        <v>1275000</v>
      </c>
      <c r="G256" s="8">
        <f t="shared" si="6"/>
        <v>57852527.54999999</v>
      </c>
      <c r="I256" s="10" t="s">
        <v>418</v>
      </c>
      <c r="J256" s="10">
        <f t="shared" si="7"/>
        <v>5</v>
      </c>
    </row>
    <row r="257" spans="1:10" x14ac:dyDescent="0.35">
      <c r="A257" s="11">
        <v>45805</v>
      </c>
      <c r="B257" s="11">
        <v>45805</v>
      </c>
      <c r="C257" t="s">
        <v>419</v>
      </c>
      <c r="D257" t="s">
        <v>17</v>
      </c>
      <c r="E257" s="9">
        <v>50</v>
      </c>
      <c r="F257" s="8"/>
      <c r="G257" s="8">
        <f t="shared" si="6"/>
        <v>57852477.54999999</v>
      </c>
      <c r="I257" s="10" t="s">
        <v>18</v>
      </c>
      <c r="J257" s="10">
        <f t="shared" si="7"/>
        <v>5</v>
      </c>
    </row>
    <row r="258" spans="1:10" x14ac:dyDescent="0.35">
      <c r="A258" s="11">
        <v>45807</v>
      </c>
      <c r="B258" s="11">
        <v>45807</v>
      </c>
      <c r="C258" t="s">
        <v>420</v>
      </c>
      <c r="D258" t="s">
        <v>113</v>
      </c>
      <c r="E258" s="9">
        <v>9170.64</v>
      </c>
      <c r="F258" s="8"/>
      <c r="G258" s="8">
        <f t="shared" si="6"/>
        <v>57843306.909999989</v>
      </c>
      <c r="I258" s="10" t="s">
        <v>114</v>
      </c>
      <c r="J258" s="10">
        <f t="shared" si="7"/>
        <v>5</v>
      </c>
    </row>
    <row r="259" spans="1:10" x14ac:dyDescent="0.35">
      <c r="A259" s="11">
        <v>45807</v>
      </c>
      <c r="B259" s="11">
        <v>45807</v>
      </c>
      <c r="C259" t="s">
        <v>421</v>
      </c>
      <c r="D259" t="s">
        <v>116</v>
      </c>
      <c r="E259" s="9">
        <v>1650</v>
      </c>
      <c r="F259" s="8"/>
      <c r="G259" s="8">
        <f t="shared" si="6"/>
        <v>57841656.909999989</v>
      </c>
      <c r="I259" s="10" t="s">
        <v>117</v>
      </c>
      <c r="J259" s="10">
        <f t="shared" si="7"/>
        <v>5</v>
      </c>
    </row>
    <row r="260" spans="1:10" x14ac:dyDescent="0.35">
      <c r="A260" s="11">
        <v>45807</v>
      </c>
      <c r="B260" s="11">
        <v>45807</v>
      </c>
      <c r="C260" t="s">
        <v>422</v>
      </c>
      <c r="D260" t="s">
        <v>119</v>
      </c>
      <c r="E260" s="9">
        <v>132</v>
      </c>
      <c r="F260" s="8"/>
      <c r="G260" s="8">
        <f t="shared" si="6"/>
        <v>57841524.909999989</v>
      </c>
      <c r="I260" s="10" t="s">
        <v>120</v>
      </c>
      <c r="J260" s="10">
        <f t="shared" si="7"/>
        <v>5</v>
      </c>
    </row>
    <row r="261" spans="1:10" x14ac:dyDescent="0.35">
      <c r="A261" s="11">
        <v>45807</v>
      </c>
      <c r="B261" s="11">
        <v>45807</v>
      </c>
      <c r="C261" t="s">
        <v>423</v>
      </c>
      <c r="D261" t="s">
        <v>122</v>
      </c>
      <c r="E261" s="9">
        <v>133.65</v>
      </c>
      <c r="F261" s="8"/>
      <c r="G261" s="8">
        <f t="shared" si="6"/>
        <v>57841391.25999999</v>
      </c>
      <c r="I261" s="10" t="s">
        <v>123</v>
      </c>
      <c r="J261" s="10">
        <f t="shared" si="7"/>
        <v>5</v>
      </c>
    </row>
    <row r="262" spans="1:10" x14ac:dyDescent="0.35">
      <c r="A262" s="11">
        <v>45811</v>
      </c>
      <c r="B262" s="11">
        <v>45811</v>
      </c>
      <c r="C262" t="s">
        <v>424</v>
      </c>
      <c r="D262" t="s">
        <v>425</v>
      </c>
      <c r="E262" s="8"/>
      <c r="F262" s="9">
        <v>3003250</v>
      </c>
      <c r="G262" s="8">
        <f t="shared" ref="G262:G325" si="8">G261+F262-E262</f>
        <v>60844641.25999999</v>
      </c>
      <c r="I262" s="10" t="s">
        <v>15</v>
      </c>
      <c r="J262" s="10">
        <f t="shared" ref="J262:J325" si="9">MONTH(A262)</f>
        <v>6</v>
      </c>
    </row>
    <row r="263" spans="1:10" x14ac:dyDescent="0.35">
      <c r="A263" s="11">
        <v>45811</v>
      </c>
      <c r="B263" s="11">
        <v>45811</v>
      </c>
      <c r="C263" t="s">
        <v>426</v>
      </c>
      <c r="D263" t="s">
        <v>17</v>
      </c>
      <c r="E263" s="9">
        <v>50</v>
      </c>
      <c r="F263" s="8"/>
      <c r="G263" s="8">
        <f t="shared" si="8"/>
        <v>60844591.25999999</v>
      </c>
      <c r="I263" s="10" t="s">
        <v>18</v>
      </c>
      <c r="J263" s="10">
        <f t="shared" si="9"/>
        <v>6</v>
      </c>
    </row>
    <row r="264" spans="1:10" x14ac:dyDescent="0.35">
      <c r="A264" s="11">
        <v>45811</v>
      </c>
      <c r="B264" s="11">
        <v>45811</v>
      </c>
      <c r="C264" t="s">
        <v>427</v>
      </c>
      <c r="D264" t="s">
        <v>20</v>
      </c>
      <c r="E264" s="9">
        <v>180800</v>
      </c>
      <c r="F264" s="8"/>
      <c r="G264" s="8">
        <f t="shared" si="8"/>
        <v>60663791.25999999</v>
      </c>
      <c r="I264" s="10" t="s">
        <v>21</v>
      </c>
      <c r="J264" s="10">
        <f t="shared" si="9"/>
        <v>6</v>
      </c>
    </row>
    <row r="265" spans="1:10" x14ac:dyDescent="0.35">
      <c r="A265" s="11">
        <v>45811</v>
      </c>
      <c r="B265" s="11">
        <v>45811</v>
      </c>
      <c r="C265" t="s">
        <v>428</v>
      </c>
      <c r="D265" t="s">
        <v>429</v>
      </c>
      <c r="E265" s="9">
        <v>1891191.93</v>
      </c>
      <c r="F265" s="8"/>
      <c r="G265" s="8">
        <f t="shared" si="8"/>
        <v>58772599.329999991</v>
      </c>
      <c r="I265" s="10" t="s">
        <v>282</v>
      </c>
      <c r="J265" s="10">
        <f t="shared" si="9"/>
        <v>6</v>
      </c>
    </row>
    <row r="266" spans="1:10" x14ac:dyDescent="0.35">
      <c r="A266" s="11">
        <v>45813</v>
      </c>
      <c r="B266" s="11">
        <v>45813</v>
      </c>
      <c r="C266" t="s">
        <v>430</v>
      </c>
      <c r="D266" t="s">
        <v>431</v>
      </c>
      <c r="E266" s="8"/>
      <c r="F266" s="9">
        <v>3600500</v>
      </c>
      <c r="G266" s="8">
        <f t="shared" si="8"/>
        <v>62373099.329999991</v>
      </c>
      <c r="I266" s="10" t="s">
        <v>15</v>
      </c>
      <c r="J266" s="10">
        <f t="shared" si="9"/>
        <v>6</v>
      </c>
    </row>
    <row r="267" spans="1:10" x14ac:dyDescent="0.35">
      <c r="A267" s="11">
        <v>45813</v>
      </c>
      <c r="B267" s="11">
        <v>45813</v>
      </c>
      <c r="C267" t="s">
        <v>432</v>
      </c>
      <c r="D267" t="s">
        <v>17</v>
      </c>
      <c r="E267" s="9">
        <v>50</v>
      </c>
      <c r="F267" s="8"/>
      <c r="G267" s="8">
        <f t="shared" si="8"/>
        <v>62373049.329999991</v>
      </c>
      <c r="I267" s="10" t="s">
        <v>18</v>
      </c>
      <c r="J267" s="10">
        <f t="shared" si="9"/>
        <v>6</v>
      </c>
    </row>
    <row r="268" spans="1:10" x14ac:dyDescent="0.35">
      <c r="A268" s="11">
        <v>45813</v>
      </c>
      <c r="B268" s="11">
        <v>45813</v>
      </c>
      <c r="C268" t="s">
        <v>433</v>
      </c>
      <c r="D268" t="s">
        <v>30</v>
      </c>
      <c r="E268" s="9">
        <v>455000</v>
      </c>
      <c r="F268" s="8"/>
      <c r="G268" s="8">
        <f t="shared" si="8"/>
        <v>61918049.329999991</v>
      </c>
      <c r="I268" s="10" t="s">
        <v>31</v>
      </c>
      <c r="J268" s="10">
        <f t="shared" si="9"/>
        <v>6</v>
      </c>
    </row>
    <row r="269" spans="1:10" x14ac:dyDescent="0.35">
      <c r="A269" s="11">
        <v>45814</v>
      </c>
      <c r="B269" s="11">
        <v>45814</v>
      </c>
      <c r="C269" t="s">
        <v>434</v>
      </c>
      <c r="D269" t="s">
        <v>435</v>
      </c>
      <c r="E269" s="8"/>
      <c r="F269" s="9">
        <v>1310242.74</v>
      </c>
      <c r="G269" s="8">
        <f t="shared" si="8"/>
        <v>63228292.069999993</v>
      </c>
      <c r="I269" s="10" t="s">
        <v>27</v>
      </c>
      <c r="J269" s="10">
        <f t="shared" si="9"/>
        <v>6</v>
      </c>
    </row>
    <row r="270" spans="1:10" x14ac:dyDescent="0.35">
      <c r="A270" s="11">
        <v>45814</v>
      </c>
      <c r="B270" s="11">
        <v>45814</v>
      </c>
      <c r="C270" t="s">
        <v>436</v>
      </c>
      <c r="D270" t="s">
        <v>17</v>
      </c>
      <c r="E270" s="9">
        <v>50</v>
      </c>
      <c r="F270" s="8"/>
      <c r="G270" s="8">
        <f t="shared" si="8"/>
        <v>63228242.069999993</v>
      </c>
      <c r="I270" s="10" t="s">
        <v>18</v>
      </c>
      <c r="J270" s="10">
        <f t="shared" si="9"/>
        <v>6</v>
      </c>
    </row>
    <row r="271" spans="1:10" x14ac:dyDescent="0.35">
      <c r="A271" s="11">
        <v>45817</v>
      </c>
      <c r="B271" s="11">
        <v>45817</v>
      </c>
      <c r="C271" t="s">
        <v>437</v>
      </c>
      <c r="D271" t="s">
        <v>438</v>
      </c>
      <c r="E271" s="8"/>
      <c r="F271" s="9">
        <v>2396125</v>
      </c>
      <c r="G271" s="8">
        <f t="shared" si="8"/>
        <v>65624367.069999993</v>
      </c>
      <c r="I271" s="10" t="s">
        <v>15</v>
      </c>
      <c r="J271" s="10">
        <f t="shared" si="9"/>
        <v>6</v>
      </c>
    </row>
    <row r="272" spans="1:10" x14ac:dyDescent="0.35">
      <c r="A272" s="11">
        <v>45817</v>
      </c>
      <c r="B272" s="11">
        <v>45817</v>
      </c>
      <c r="C272" t="s">
        <v>439</v>
      </c>
      <c r="D272" t="s">
        <v>17</v>
      </c>
      <c r="E272" s="9">
        <v>50</v>
      </c>
      <c r="F272" s="8"/>
      <c r="G272" s="8">
        <f t="shared" si="8"/>
        <v>65624317.069999993</v>
      </c>
      <c r="I272" s="10" t="s">
        <v>18</v>
      </c>
      <c r="J272" s="10">
        <f t="shared" si="9"/>
        <v>6</v>
      </c>
    </row>
    <row r="273" spans="1:10" x14ac:dyDescent="0.35">
      <c r="A273" s="11">
        <v>45817</v>
      </c>
      <c r="B273" s="11">
        <v>45817</v>
      </c>
      <c r="C273" t="s">
        <v>440</v>
      </c>
      <c r="D273" t="s">
        <v>441</v>
      </c>
      <c r="E273" s="9">
        <v>1810500</v>
      </c>
      <c r="F273" s="8"/>
      <c r="G273" s="8">
        <f t="shared" si="8"/>
        <v>63813817.069999993</v>
      </c>
      <c r="I273" s="10" t="s">
        <v>37</v>
      </c>
      <c r="J273" s="10">
        <f t="shared" si="9"/>
        <v>6</v>
      </c>
    </row>
    <row r="274" spans="1:10" x14ac:dyDescent="0.35">
      <c r="A274" s="11">
        <v>45817</v>
      </c>
      <c r="B274" s="11">
        <v>45817</v>
      </c>
      <c r="C274" t="s">
        <v>442</v>
      </c>
      <c r="D274" t="s">
        <v>62</v>
      </c>
      <c r="E274" s="9">
        <v>977000</v>
      </c>
      <c r="F274" s="8"/>
      <c r="G274" s="8">
        <f t="shared" si="8"/>
        <v>62836817.069999993</v>
      </c>
      <c r="I274" s="10" t="s">
        <v>63</v>
      </c>
      <c r="J274" s="10">
        <f t="shared" si="9"/>
        <v>6</v>
      </c>
    </row>
    <row r="275" spans="1:10" x14ac:dyDescent="0.35">
      <c r="A275" s="11">
        <v>45818</v>
      </c>
      <c r="B275" s="11">
        <v>45818</v>
      </c>
      <c r="C275" t="s">
        <v>443</v>
      </c>
      <c r="D275" t="s">
        <v>45</v>
      </c>
      <c r="E275" s="9">
        <v>520000</v>
      </c>
      <c r="F275" s="8"/>
      <c r="G275" s="8">
        <f t="shared" si="8"/>
        <v>62316817.069999993</v>
      </c>
      <c r="I275" s="10" t="s">
        <v>46</v>
      </c>
      <c r="J275" s="10">
        <f t="shared" si="9"/>
        <v>6</v>
      </c>
    </row>
    <row r="276" spans="1:10" x14ac:dyDescent="0.35">
      <c r="A276" s="11">
        <v>45818</v>
      </c>
      <c r="B276" s="11">
        <v>45818</v>
      </c>
      <c r="C276" t="s">
        <v>444</v>
      </c>
      <c r="D276" t="s">
        <v>48</v>
      </c>
      <c r="E276" s="9">
        <v>680000</v>
      </c>
      <c r="F276" s="8"/>
      <c r="G276" s="8">
        <f t="shared" si="8"/>
        <v>61636817.069999993</v>
      </c>
      <c r="I276" s="10" t="s">
        <v>49</v>
      </c>
      <c r="J276" s="10">
        <f t="shared" si="9"/>
        <v>6</v>
      </c>
    </row>
    <row r="277" spans="1:10" x14ac:dyDescent="0.35">
      <c r="A277" s="11">
        <v>45819</v>
      </c>
      <c r="B277" s="11">
        <v>45819</v>
      </c>
      <c r="C277" t="s">
        <v>445</v>
      </c>
      <c r="D277" t="s">
        <v>446</v>
      </c>
      <c r="E277" s="9">
        <v>340000</v>
      </c>
      <c r="F277" s="8"/>
      <c r="G277" s="8">
        <f t="shared" si="8"/>
        <v>61296817.069999993</v>
      </c>
      <c r="I277" s="10" t="s">
        <v>447</v>
      </c>
      <c r="J277" s="10">
        <f t="shared" si="9"/>
        <v>6</v>
      </c>
    </row>
    <row r="278" spans="1:10" x14ac:dyDescent="0.35">
      <c r="A278" s="11">
        <v>45820</v>
      </c>
      <c r="B278" s="11">
        <v>45820</v>
      </c>
      <c r="C278" t="s">
        <v>448</v>
      </c>
      <c r="D278" t="s">
        <v>449</v>
      </c>
      <c r="E278" s="8"/>
      <c r="F278" s="9">
        <v>2753000</v>
      </c>
      <c r="G278" s="8">
        <f t="shared" si="8"/>
        <v>64049817.069999993</v>
      </c>
      <c r="I278" s="10" t="s">
        <v>15</v>
      </c>
      <c r="J278" s="10">
        <f t="shared" si="9"/>
        <v>6</v>
      </c>
    </row>
    <row r="279" spans="1:10" x14ac:dyDescent="0.35">
      <c r="A279" s="11">
        <v>45820</v>
      </c>
      <c r="B279" s="11">
        <v>45820</v>
      </c>
      <c r="C279" t="s">
        <v>450</v>
      </c>
      <c r="D279" t="s">
        <v>17</v>
      </c>
      <c r="E279" s="9">
        <v>50</v>
      </c>
      <c r="F279" s="8"/>
      <c r="G279" s="8">
        <f t="shared" si="8"/>
        <v>64049767.069999993</v>
      </c>
      <c r="I279" s="10" t="s">
        <v>18</v>
      </c>
      <c r="J279" s="10">
        <f t="shared" si="9"/>
        <v>6</v>
      </c>
    </row>
    <row r="280" spans="1:10" x14ac:dyDescent="0.35">
      <c r="A280" s="11">
        <v>45820</v>
      </c>
      <c r="B280" s="11">
        <v>45820</v>
      </c>
      <c r="C280" t="s">
        <v>451</v>
      </c>
      <c r="D280" t="s">
        <v>65</v>
      </c>
      <c r="E280" s="9">
        <v>799000</v>
      </c>
      <c r="F280" s="8"/>
      <c r="G280" s="8">
        <f t="shared" si="8"/>
        <v>63250767.069999993</v>
      </c>
      <c r="I280" s="10" t="s">
        <v>31</v>
      </c>
      <c r="J280" s="10">
        <f t="shared" si="9"/>
        <v>6</v>
      </c>
    </row>
    <row r="281" spans="1:10" x14ac:dyDescent="0.35">
      <c r="A281" s="11">
        <v>45821</v>
      </c>
      <c r="B281" s="11">
        <v>45821</v>
      </c>
      <c r="C281" t="s">
        <v>452</v>
      </c>
      <c r="D281" t="s">
        <v>453</v>
      </c>
      <c r="E281" s="8"/>
      <c r="F281" s="9">
        <v>2833529.07</v>
      </c>
      <c r="G281" s="8">
        <f t="shared" si="8"/>
        <v>66084296.139999993</v>
      </c>
      <c r="I281" s="10" t="s">
        <v>40</v>
      </c>
      <c r="J281" s="10">
        <f t="shared" si="9"/>
        <v>6</v>
      </c>
    </row>
    <row r="282" spans="1:10" x14ac:dyDescent="0.35">
      <c r="A282" s="11">
        <v>45821</v>
      </c>
      <c r="B282" s="11">
        <v>45821</v>
      </c>
      <c r="C282" t="s">
        <v>454</v>
      </c>
      <c r="D282" t="s">
        <v>17</v>
      </c>
      <c r="E282" s="9">
        <v>50</v>
      </c>
      <c r="F282" s="8"/>
      <c r="G282" s="8">
        <f t="shared" si="8"/>
        <v>66084246.139999993</v>
      </c>
      <c r="I282" s="10" t="s">
        <v>18</v>
      </c>
      <c r="J282" s="10">
        <f t="shared" si="9"/>
        <v>6</v>
      </c>
    </row>
    <row r="283" spans="1:10" x14ac:dyDescent="0.35">
      <c r="A283" s="11">
        <v>45821</v>
      </c>
      <c r="B283" s="11">
        <v>45821</v>
      </c>
      <c r="C283" t="s">
        <v>455</v>
      </c>
      <c r="D283" t="s">
        <v>456</v>
      </c>
      <c r="E283" s="8"/>
      <c r="F283" s="9">
        <v>3446622.09</v>
      </c>
      <c r="G283" s="8">
        <f t="shared" si="8"/>
        <v>69530868.229999989</v>
      </c>
      <c r="I283" s="10" t="s">
        <v>40</v>
      </c>
      <c r="J283" s="10">
        <f t="shared" si="9"/>
        <v>6</v>
      </c>
    </row>
    <row r="284" spans="1:10" x14ac:dyDescent="0.35">
      <c r="A284" s="11">
        <v>45821</v>
      </c>
      <c r="B284" s="11">
        <v>45821</v>
      </c>
      <c r="C284" t="s">
        <v>457</v>
      </c>
      <c r="D284" t="s">
        <v>17</v>
      </c>
      <c r="E284" s="9">
        <v>50</v>
      </c>
      <c r="F284" s="8"/>
      <c r="G284" s="8">
        <f t="shared" si="8"/>
        <v>69530818.229999989</v>
      </c>
      <c r="I284" s="10" t="s">
        <v>18</v>
      </c>
      <c r="J284" s="10">
        <f t="shared" si="9"/>
        <v>6</v>
      </c>
    </row>
    <row r="285" spans="1:10" x14ac:dyDescent="0.35">
      <c r="A285" s="11">
        <v>45821</v>
      </c>
      <c r="B285" s="11">
        <v>45821</v>
      </c>
      <c r="C285" t="s">
        <v>458</v>
      </c>
      <c r="D285" t="s">
        <v>459</v>
      </c>
      <c r="E285" s="8"/>
      <c r="F285" s="9">
        <v>1753351.3</v>
      </c>
      <c r="G285" s="8">
        <f t="shared" si="8"/>
        <v>71284169.529999986</v>
      </c>
      <c r="I285" s="10" t="s">
        <v>27</v>
      </c>
      <c r="J285" s="10">
        <f t="shared" si="9"/>
        <v>6</v>
      </c>
    </row>
    <row r="286" spans="1:10" x14ac:dyDescent="0.35">
      <c r="A286" s="11">
        <v>45821</v>
      </c>
      <c r="B286" s="11">
        <v>45821</v>
      </c>
      <c r="C286" t="s">
        <v>460</v>
      </c>
      <c r="D286" t="s">
        <v>17</v>
      </c>
      <c r="E286" s="9">
        <v>50</v>
      </c>
      <c r="F286" s="8"/>
      <c r="G286" s="8">
        <f t="shared" si="8"/>
        <v>71284119.529999986</v>
      </c>
      <c r="I286" s="10" t="s">
        <v>18</v>
      </c>
      <c r="J286" s="10">
        <f t="shared" si="9"/>
        <v>6</v>
      </c>
    </row>
    <row r="287" spans="1:10" x14ac:dyDescent="0.35">
      <c r="A287" s="11">
        <v>45824</v>
      </c>
      <c r="B287" s="11">
        <v>45824</v>
      </c>
      <c r="C287" t="s">
        <v>461</v>
      </c>
      <c r="D287" t="s">
        <v>462</v>
      </c>
      <c r="E287" s="8"/>
      <c r="F287" s="9">
        <v>3967000</v>
      </c>
      <c r="G287" s="8">
        <f t="shared" si="8"/>
        <v>75251119.529999986</v>
      </c>
      <c r="I287" s="10" t="s">
        <v>15</v>
      </c>
      <c r="J287" s="10">
        <f t="shared" si="9"/>
        <v>6</v>
      </c>
    </row>
    <row r="288" spans="1:10" x14ac:dyDescent="0.35">
      <c r="A288" s="11">
        <v>45824</v>
      </c>
      <c r="B288" s="11">
        <v>45824</v>
      </c>
      <c r="C288" t="s">
        <v>463</v>
      </c>
      <c r="D288" t="s">
        <v>17</v>
      </c>
      <c r="E288" s="9">
        <v>50</v>
      </c>
      <c r="F288" s="8"/>
      <c r="G288" s="8">
        <f t="shared" si="8"/>
        <v>75251069.529999986</v>
      </c>
      <c r="I288" s="10" t="s">
        <v>18</v>
      </c>
      <c r="J288" s="10">
        <f t="shared" si="9"/>
        <v>6</v>
      </c>
    </row>
    <row r="289" spans="1:10" x14ac:dyDescent="0.35">
      <c r="A289" s="11">
        <v>45824</v>
      </c>
      <c r="B289" s="11">
        <v>45824</v>
      </c>
      <c r="C289" t="s">
        <v>464</v>
      </c>
      <c r="D289" t="s">
        <v>465</v>
      </c>
      <c r="E289" s="9">
        <v>3368500</v>
      </c>
      <c r="F289" s="8"/>
      <c r="G289" s="8">
        <f t="shared" si="8"/>
        <v>71882569.529999986</v>
      </c>
      <c r="I289" s="10" t="s">
        <v>37</v>
      </c>
      <c r="J289" s="10">
        <f t="shared" si="9"/>
        <v>6</v>
      </c>
    </row>
    <row r="290" spans="1:10" x14ac:dyDescent="0.35">
      <c r="A290" s="11">
        <v>45824</v>
      </c>
      <c r="B290" s="11">
        <v>45824</v>
      </c>
      <c r="C290" t="s">
        <v>466</v>
      </c>
      <c r="D290" t="s">
        <v>70</v>
      </c>
      <c r="E290" s="9">
        <v>48800</v>
      </c>
      <c r="F290" s="8"/>
      <c r="G290" s="8">
        <f t="shared" si="8"/>
        <v>71833769.529999986</v>
      </c>
      <c r="I290" s="10" t="s">
        <v>71</v>
      </c>
      <c r="J290" s="10">
        <f t="shared" si="9"/>
        <v>6</v>
      </c>
    </row>
    <row r="291" spans="1:10" x14ac:dyDescent="0.35">
      <c r="A291" s="11">
        <v>45825</v>
      </c>
      <c r="B291" s="11">
        <v>45825</v>
      </c>
      <c r="C291" t="s">
        <v>467</v>
      </c>
      <c r="D291" t="s">
        <v>141</v>
      </c>
      <c r="E291" s="9">
        <v>378000</v>
      </c>
      <c r="F291" s="8"/>
      <c r="G291" s="8">
        <f t="shared" si="8"/>
        <v>71455769.529999986</v>
      </c>
      <c r="I291" s="10" t="s">
        <v>77</v>
      </c>
      <c r="J291" s="10">
        <f t="shared" si="9"/>
        <v>6</v>
      </c>
    </row>
    <row r="292" spans="1:10" x14ac:dyDescent="0.35">
      <c r="A292" s="11">
        <v>45826</v>
      </c>
      <c r="B292" s="11">
        <v>45826</v>
      </c>
      <c r="C292" t="s">
        <v>468</v>
      </c>
      <c r="D292" t="s">
        <v>469</v>
      </c>
      <c r="E292" s="8"/>
      <c r="F292" s="9">
        <v>2396125</v>
      </c>
      <c r="G292" s="8">
        <f t="shared" si="8"/>
        <v>73851894.529999986</v>
      </c>
      <c r="I292" s="10" t="s">
        <v>15</v>
      </c>
      <c r="J292" s="10">
        <f t="shared" si="9"/>
        <v>6</v>
      </c>
    </row>
    <row r="293" spans="1:10" x14ac:dyDescent="0.35">
      <c r="A293" s="11">
        <v>45826</v>
      </c>
      <c r="B293" s="11">
        <v>45826</v>
      </c>
      <c r="C293" t="s">
        <v>470</v>
      </c>
      <c r="D293" t="s">
        <v>17</v>
      </c>
      <c r="E293" s="9">
        <v>50</v>
      </c>
      <c r="F293" s="8"/>
      <c r="G293" s="8">
        <f t="shared" si="8"/>
        <v>73851844.529999986</v>
      </c>
      <c r="I293" s="10" t="s">
        <v>18</v>
      </c>
      <c r="J293" s="10">
        <f t="shared" si="9"/>
        <v>6</v>
      </c>
    </row>
    <row r="294" spans="1:10" x14ac:dyDescent="0.35">
      <c r="A294" s="11">
        <v>45827</v>
      </c>
      <c r="B294" s="11">
        <v>45827</v>
      </c>
      <c r="C294" t="s">
        <v>471</v>
      </c>
      <c r="D294" t="s">
        <v>472</v>
      </c>
      <c r="E294" s="9">
        <v>3228500</v>
      </c>
      <c r="F294" s="8"/>
      <c r="G294" s="8">
        <f t="shared" si="8"/>
        <v>70623344.529999986</v>
      </c>
      <c r="I294" s="10" t="s">
        <v>37</v>
      </c>
      <c r="J294" s="10">
        <f t="shared" si="9"/>
        <v>6</v>
      </c>
    </row>
    <row r="295" spans="1:10" x14ac:dyDescent="0.35">
      <c r="A295" s="11">
        <v>45827</v>
      </c>
      <c r="B295" s="11">
        <v>45827</v>
      </c>
      <c r="C295" t="s">
        <v>473</v>
      </c>
      <c r="D295" t="s">
        <v>474</v>
      </c>
      <c r="E295" s="9">
        <v>3380500</v>
      </c>
      <c r="F295" s="8"/>
      <c r="G295" s="8">
        <f t="shared" si="8"/>
        <v>67242844.529999986</v>
      </c>
      <c r="I295" s="10" t="s">
        <v>37</v>
      </c>
      <c r="J295" s="10">
        <f t="shared" si="9"/>
        <v>6</v>
      </c>
    </row>
    <row r="296" spans="1:10" x14ac:dyDescent="0.35">
      <c r="A296" s="11">
        <v>45828</v>
      </c>
      <c r="B296" s="11">
        <v>45828</v>
      </c>
      <c r="C296" t="s">
        <v>475</v>
      </c>
      <c r="D296" t="s">
        <v>476</v>
      </c>
      <c r="E296" s="8"/>
      <c r="F296" s="9">
        <v>1436802.89</v>
      </c>
      <c r="G296" s="8">
        <f t="shared" si="8"/>
        <v>68679647.419999987</v>
      </c>
      <c r="I296" s="10" t="s">
        <v>27</v>
      </c>
      <c r="J296" s="10">
        <f t="shared" si="9"/>
        <v>6</v>
      </c>
    </row>
    <row r="297" spans="1:10" x14ac:dyDescent="0.35">
      <c r="A297" s="11">
        <v>45828</v>
      </c>
      <c r="B297" s="11">
        <v>45828</v>
      </c>
      <c r="C297" t="s">
        <v>477</v>
      </c>
      <c r="D297" t="s">
        <v>17</v>
      </c>
      <c r="E297" s="9">
        <v>50</v>
      </c>
      <c r="F297" s="8"/>
      <c r="G297" s="8">
        <f t="shared" si="8"/>
        <v>68679597.419999987</v>
      </c>
      <c r="I297" s="10" t="s">
        <v>18</v>
      </c>
      <c r="J297" s="10">
        <f t="shared" si="9"/>
        <v>6</v>
      </c>
    </row>
    <row r="298" spans="1:10" x14ac:dyDescent="0.35">
      <c r="A298" s="11">
        <v>45828</v>
      </c>
      <c r="B298" s="11">
        <v>45828</v>
      </c>
      <c r="C298" t="s">
        <v>478</v>
      </c>
      <c r="D298" t="s">
        <v>245</v>
      </c>
      <c r="E298" s="9">
        <v>450000</v>
      </c>
      <c r="F298" s="8"/>
      <c r="G298" s="8">
        <f t="shared" si="8"/>
        <v>68229597.419999987</v>
      </c>
      <c r="I298" s="10" t="s">
        <v>246</v>
      </c>
      <c r="J298" s="10">
        <f t="shared" si="9"/>
        <v>6</v>
      </c>
    </row>
    <row r="299" spans="1:10" x14ac:dyDescent="0.35">
      <c r="A299" s="11">
        <v>45828</v>
      </c>
      <c r="B299" s="11">
        <v>45828</v>
      </c>
      <c r="C299" t="s">
        <v>479</v>
      </c>
      <c r="D299" t="s">
        <v>480</v>
      </c>
      <c r="E299" s="9">
        <v>6240000</v>
      </c>
      <c r="F299" s="8"/>
      <c r="G299" s="8">
        <f t="shared" si="8"/>
        <v>61989597.419999987</v>
      </c>
      <c r="I299" s="10" t="s">
        <v>481</v>
      </c>
      <c r="J299" s="10">
        <f t="shared" si="9"/>
        <v>6</v>
      </c>
    </row>
    <row r="300" spans="1:10" x14ac:dyDescent="0.35">
      <c r="A300" s="11">
        <v>45831</v>
      </c>
      <c r="B300" s="11">
        <v>45831</v>
      </c>
      <c r="C300" t="s">
        <v>482</v>
      </c>
      <c r="D300" t="s">
        <v>85</v>
      </c>
      <c r="E300" s="9">
        <v>1621800</v>
      </c>
      <c r="F300" s="8"/>
      <c r="G300" s="8">
        <f t="shared" si="8"/>
        <v>60367797.419999987</v>
      </c>
      <c r="I300" s="10" t="s">
        <v>86</v>
      </c>
      <c r="J300" s="10">
        <f t="shared" si="9"/>
        <v>6</v>
      </c>
    </row>
    <row r="301" spans="1:10" x14ac:dyDescent="0.35">
      <c r="A301" s="11">
        <v>45832</v>
      </c>
      <c r="B301" s="11">
        <v>45832</v>
      </c>
      <c r="C301" t="s">
        <v>483</v>
      </c>
      <c r="D301" t="s">
        <v>62</v>
      </c>
      <c r="E301" s="9">
        <v>1099000</v>
      </c>
      <c r="F301" s="8"/>
      <c r="G301" s="8">
        <f t="shared" si="8"/>
        <v>59268797.419999987</v>
      </c>
      <c r="I301" s="10" t="s">
        <v>63</v>
      </c>
      <c r="J301" s="10">
        <f t="shared" si="9"/>
        <v>6</v>
      </c>
    </row>
    <row r="302" spans="1:10" x14ac:dyDescent="0.35">
      <c r="A302" s="11">
        <v>45834</v>
      </c>
      <c r="B302" s="11">
        <v>45834</v>
      </c>
      <c r="C302" t="s">
        <v>484</v>
      </c>
      <c r="D302" t="s">
        <v>100</v>
      </c>
      <c r="E302" s="9">
        <v>231000</v>
      </c>
      <c r="F302" s="8"/>
      <c r="G302" s="8">
        <f t="shared" si="8"/>
        <v>59037797.419999987</v>
      </c>
      <c r="I302" s="10" t="s">
        <v>101</v>
      </c>
      <c r="J302" s="10">
        <f t="shared" si="9"/>
        <v>6</v>
      </c>
    </row>
    <row r="303" spans="1:10" x14ac:dyDescent="0.35">
      <c r="A303" s="11">
        <v>45835</v>
      </c>
      <c r="B303" s="11">
        <v>45835</v>
      </c>
      <c r="C303" t="s">
        <v>485</v>
      </c>
      <c r="D303" t="s">
        <v>486</v>
      </c>
      <c r="E303" s="8"/>
      <c r="F303" s="9">
        <v>1119093.6499999999</v>
      </c>
      <c r="G303" s="8">
        <f t="shared" si="8"/>
        <v>60156891.069999985</v>
      </c>
      <c r="I303" s="10" t="s">
        <v>27</v>
      </c>
      <c r="J303" s="10">
        <f t="shared" si="9"/>
        <v>6</v>
      </c>
    </row>
    <row r="304" spans="1:10" x14ac:dyDescent="0.35">
      <c r="A304" s="11">
        <v>45835</v>
      </c>
      <c r="B304" s="11">
        <v>45835</v>
      </c>
      <c r="C304" t="s">
        <v>487</v>
      </c>
      <c r="D304" t="s">
        <v>17</v>
      </c>
      <c r="E304" s="9">
        <v>50</v>
      </c>
      <c r="F304" s="8"/>
      <c r="G304" s="8">
        <f t="shared" si="8"/>
        <v>60156841.069999985</v>
      </c>
      <c r="I304" s="10" t="s">
        <v>18</v>
      </c>
      <c r="J304" s="10">
        <f t="shared" si="9"/>
        <v>6</v>
      </c>
    </row>
    <row r="305" spans="1:10" x14ac:dyDescent="0.35">
      <c r="A305" s="11">
        <v>45835</v>
      </c>
      <c r="B305" s="11">
        <v>45835</v>
      </c>
      <c r="C305" t="s">
        <v>488</v>
      </c>
      <c r="D305" t="s">
        <v>489</v>
      </c>
      <c r="E305" s="9">
        <v>8000000</v>
      </c>
      <c r="F305" s="8"/>
      <c r="G305" s="8">
        <f t="shared" si="8"/>
        <v>52156841.069999985</v>
      </c>
      <c r="I305" s="10" t="s">
        <v>490</v>
      </c>
      <c r="J305" s="10">
        <f t="shared" si="9"/>
        <v>6</v>
      </c>
    </row>
    <row r="306" spans="1:10" x14ac:dyDescent="0.35">
      <c r="A306" s="11">
        <v>45838</v>
      </c>
      <c r="B306" s="11">
        <v>45838</v>
      </c>
      <c r="C306" t="s">
        <v>491</v>
      </c>
      <c r="D306" t="s">
        <v>106</v>
      </c>
      <c r="E306" s="9">
        <v>4180000</v>
      </c>
      <c r="F306" s="8"/>
      <c r="G306" s="8">
        <f t="shared" si="8"/>
        <v>47976841.069999985</v>
      </c>
      <c r="I306" s="10" t="s">
        <v>107</v>
      </c>
      <c r="J306" s="10">
        <f t="shared" si="9"/>
        <v>6</v>
      </c>
    </row>
    <row r="307" spans="1:10" x14ac:dyDescent="0.35">
      <c r="A307" s="11">
        <v>45838</v>
      </c>
      <c r="B307" s="11">
        <v>45838</v>
      </c>
      <c r="C307" t="s">
        <v>492</v>
      </c>
      <c r="D307" t="s">
        <v>493</v>
      </c>
      <c r="E307" s="9">
        <v>2000000</v>
      </c>
      <c r="F307" s="8"/>
      <c r="G307" s="8">
        <f t="shared" si="8"/>
        <v>45976841.069999985</v>
      </c>
      <c r="I307" s="10" t="s">
        <v>228</v>
      </c>
      <c r="J307" s="10">
        <f t="shared" si="9"/>
        <v>6</v>
      </c>
    </row>
    <row r="308" spans="1:10" x14ac:dyDescent="0.35">
      <c r="A308" s="11">
        <v>45838</v>
      </c>
      <c r="B308" s="11">
        <v>45838</v>
      </c>
      <c r="C308" t="s">
        <v>494</v>
      </c>
      <c r="D308" t="s">
        <v>266</v>
      </c>
      <c r="E308" s="8"/>
      <c r="F308" s="9">
        <v>11517.97</v>
      </c>
      <c r="G308" s="8">
        <f t="shared" si="8"/>
        <v>45988359.039999984</v>
      </c>
      <c r="I308" s="10" t="s">
        <v>267</v>
      </c>
      <c r="J308" s="10">
        <f t="shared" si="9"/>
        <v>6</v>
      </c>
    </row>
    <row r="309" spans="1:10" x14ac:dyDescent="0.35">
      <c r="A309" s="11">
        <v>45838</v>
      </c>
      <c r="B309" s="11">
        <v>45838</v>
      </c>
      <c r="C309" t="s">
        <v>495</v>
      </c>
      <c r="D309" t="s">
        <v>17</v>
      </c>
      <c r="E309" s="9">
        <v>50</v>
      </c>
      <c r="F309" s="8"/>
      <c r="G309" s="8">
        <f t="shared" si="8"/>
        <v>45988309.039999984</v>
      </c>
      <c r="I309" s="10" t="s">
        <v>18</v>
      </c>
      <c r="J309" s="10">
        <f t="shared" si="9"/>
        <v>6</v>
      </c>
    </row>
    <row r="310" spans="1:10" x14ac:dyDescent="0.35">
      <c r="A310" s="11">
        <v>45838</v>
      </c>
      <c r="B310" s="11">
        <v>45838</v>
      </c>
      <c r="C310" t="s">
        <v>496</v>
      </c>
      <c r="D310" t="s">
        <v>113</v>
      </c>
      <c r="E310" s="9">
        <v>12563.88</v>
      </c>
      <c r="F310" s="8"/>
      <c r="G310" s="8">
        <f t="shared" si="8"/>
        <v>45975745.159999982</v>
      </c>
      <c r="I310" s="10" t="s">
        <v>114</v>
      </c>
      <c r="J310" s="10">
        <f t="shared" si="9"/>
        <v>6</v>
      </c>
    </row>
    <row r="311" spans="1:10" x14ac:dyDescent="0.35">
      <c r="A311" s="11">
        <v>45838</v>
      </c>
      <c r="B311" s="11">
        <v>45838</v>
      </c>
      <c r="C311" t="s">
        <v>497</v>
      </c>
      <c r="D311" t="s">
        <v>116</v>
      </c>
      <c r="E311" s="9">
        <v>1750</v>
      </c>
      <c r="F311" s="8"/>
      <c r="G311" s="8">
        <f t="shared" si="8"/>
        <v>45973995.159999982</v>
      </c>
      <c r="I311" s="10" t="s">
        <v>117</v>
      </c>
      <c r="J311" s="10">
        <f t="shared" si="9"/>
        <v>6</v>
      </c>
    </row>
    <row r="312" spans="1:10" x14ac:dyDescent="0.35">
      <c r="A312" s="11">
        <v>45838</v>
      </c>
      <c r="B312" s="11">
        <v>45838</v>
      </c>
      <c r="C312" t="s">
        <v>498</v>
      </c>
      <c r="D312" t="s">
        <v>119</v>
      </c>
      <c r="E312" s="9">
        <v>140</v>
      </c>
      <c r="F312" s="8"/>
      <c r="G312" s="8">
        <f t="shared" si="8"/>
        <v>45973855.159999982</v>
      </c>
      <c r="I312" s="10" t="s">
        <v>120</v>
      </c>
      <c r="J312" s="10">
        <f t="shared" si="9"/>
        <v>6</v>
      </c>
    </row>
    <row r="313" spans="1:10" x14ac:dyDescent="0.35">
      <c r="A313" s="11">
        <v>45838</v>
      </c>
      <c r="B313" s="11">
        <v>45838</v>
      </c>
      <c r="C313" t="s">
        <v>499</v>
      </c>
      <c r="D313" t="s">
        <v>122</v>
      </c>
      <c r="E313" s="9">
        <v>141.75</v>
      </c>
      <c r="F313" s="8"/>
      <c r="G313" s="8">
        <f t="shared" si="8"/>
        <v>45973713.409999982</v>
      </c>
      <c r="I313" s="10" t="s">
        <v>123</v>
      </c>
      <c r="J313" s="10">
        <f t="shared" si="9"/>
        <v>6</v>
      </c>
    </row>
    <row r="314" spans="1:10" x14ac:dyDescent="0.35">
      <c r="A314" s="11">
        <v>45841</v>
      </c>
      <c r="B314" s="11">
        <v>45841</v>
      </c>
      <c r="C314" t="s">
        <v>500</v>
      </c>
      <c r="D314" t="s">
        <v>20</v>
      </c>
      <c r="E314" s="9">
        <v>181400</v>
      </c>
      <c r="F314" s="8"/>
      <c r="G314" s="8">
        <f t="shared" si="8"/>
        <v>45792313.409999982</v>
      </c>
      <c r="I314" s="10" t="s">
        <v>21</v>
      </c>
      <c r="J314" s="10">
        <f t="shared" si="9"/>
        <v>7</v>
      </c>
    </row>
    <row r="315" spans="1:10" x14ac:dyDescent="0.35">
      <c r="A315" s="11">
        <v>45841</v>
      </c>
      <c r="B315" s="11">
        <v>45841</v>
      </c>
      <c r="C315" t="s">
        <v>501</v>
      </c>
      <c r="D315" t="s">
        <v>502</v>
      </c>
      <c r="E315" s="9">
        <v>7800000</v>
      </c>
      <c r="F315" s="8"/>
      <c r="G315" s="8">
        <f t="shared" si="8"/>
        <v>37992313.409999982</v>
      </c>
      <c r="I315" s="10" t="s">
        <v>34</v>
      </c>
      <c r="J315" s="10">
        <f t="shared" si="9"/>
        <v>7</v>
      </c>
    </row>
    <row r="316" spans="1:10" x14ac:dyDescent="0.35">
      <c r="A316" s="11">
        <v>45841</v>
      </c>
      <c r="B316" s="11">
        <v>45841</v>
      </c>
      <c r="C316" t="s">
        <v>503</v>
      </c>
      <c r="D316" t="s">
        <v>504</v>
      </c>
      <c r="E316" s="9">
        <v>1891191.93</v>
      </c>
      <c r="F316" s="8"/>
      <c r="G316" s="8">
        <f t="shared" si="8"/>
        <v>36101121.479999982</v>
      </c>
      <c r="I316" s="10" t="s">
        <v>282</v>
      </c>
      <c r="J316" s="10">
        <f t="shared" si="9"/>
        <v>7</v>
      </c>
    </row>
    <row r="317" spans="1:10" x14ac:dyDescent="0.35">
      <c r="A317" s="11">
        <v>45845</v>
      </c>
      <c r="B317" s="11">
        <v>45845</v>
      </c>
      <c r="C317" t="s">
        <v>505</v>
      </c>
      <c r="D317" t="s">
        <v>506</v>
      </c>
      <c r="E317" s="8"/>
      <c r="F317" s="9">
        <v>3505500</v>
      </c>
      <c r="G317" s="8">
        <f t="shared" si="8"/>
        <v>39606621.479999982</v>
      </c>
      <c r="I317" s="10" t="s">
        <v>15</v>
      </c>
      <c r="J317" s="10">
        <f t="shared" si="9"/>
        <v>7</v>
      </c>
    </row>
    <row r="318" spans="1:10" x14ac:dyDescent="0.35">
      <c r="A318" s="11">
        <v>45845</v>
      </c>
      <c r="B318" s="11">
        <v>45845</v>
      </c>
      <c r="C318" t="s">
        <v>507</v>
      </c>
      <c r="D318" t="s">
        <v>17</v>
      </c>
      <c r="E318" s="9">
        <v>50</v>
      </c>
      <c r="F318" s="8"/>
      <c r="G318" s="8">
        <f t="shared" si="8"/>
        <v>39606571.479999982</v>
      </c>
      <c r="I318" s="10" t="s">
        <v>18</v>
      </c>
      <c r="J318" s="10">
        <f t="shared" si="9"/>
        <v>7</v>
      </c>
    </row>
    <row r="319" spans="1:10" x14ac:dyDescent="0.35">
      <c r="A319" s="11">
        <v>45845</v>
      </c>
      <c r="B319" s="11">
        <v>45845</v>
      </c>
      <c r="C319" t="s">
        <v>508</v>
      </c>
      <c r="D319" t="s">
        <v>509</v>
      </c>
      <c r="E319" s="8"/>
      <c r="F319" s="9">
        <v>1377418.56</v>
      </c>
      <c r="G319" s="8">
        <f t="shared" si="8"/>
        <v>40983990.039999984</v>
      </c>
      <c r="I319" s="10" t="s">
        <v>27</v>
      </c>
      <c r="J319" s="10">
        <f t="shared" si="9"/>
        <v>7</v>
      </c>
    </row>
    <row r="320" spans="1:10" x14ac:dyDescent="0.35">
      <c r="A320" s="11">
        <v>45845</v>
      </c>
      <c r="B320" s="11">
        <v>45845</v>
      </c>
      <c r="C320" t="s">
        <v>510</v>
      </c>
      <c r="D320" t="s">
        <v>17</v>
      </c>
      <c r="E320" s="9">
        <v>50</v>
      </c>
      <c r="F320" s="8"/>
      <c r="G320" s="8">
        <f t="shared" si="8"/>
        <v>40983940.039999984</v>
      </c>
      <c r="I320" s="10" t="s">
        <v>18</v>
      </c>
      <c r="J320" s="10">
        <f t="shared" si="9"/>
        <v>7</v>
      </c>
    </row>
    <row r="321" spans="1:10" x14ac:dyDescent="0.35">
      <c r="A321" s="11">
        <v>45845</v>
      </c>
      <c r="B321" s="11">
        <v>45845</v>
      </c>
      <c r="C321" t="s">
        <v>511</v>
      </c>
      <c r="D321" t="s">
        <v>512</v>
      </c>
      <c r="E321" s="9">
        <v>2114500</v>
      </c>
      <c r="F321" s="8"/>
      <c r="G321" s="8">
        <f t="shared" si="8"/>
        <v>38869440.039999984</v>
      </c>
      <c r="I321" s="10" t="s">
        <v>37</v>
      </c>
      <c r="J321" s="10">
        <f t="shared" si="9"/>
        <v>7</v>
      </c>
    </row>
    <row r="322" spans="1:10" x14ac:dyDescent="0.35">
      <c r="A322" s="11">
        <v>45845</v>
      </c>
      <c r="B322" s="11">
        <v>45845</v>
      </c>
      <c r="C322" t="s">
        <v>513</v>
      </c>
      <c r="D322" t="s">
        <v>30</v>
      </c>
      <c r="E322" s="9">
        <v>398000</v>
      </c>
      <c r="F322" s="8"/>
      <c r="G322" s="8">
        <f t="shared" si="8"/>
        <v>38471440.039999984</v>
      </c>
      <c r="I322" s="10" t="s">
        <v>31</v>
      </c>
      <c r="J322" s="10">
        <f t="shared" si="9"/>
        <v>7</v>
      </c>
    </row>
    <row r="323" spans="1:10" x14ac:dyDescent="0.35">
      <c r="A323" s="11">
        <v>45848</v>
      </c>
      <c r="B323" s="11">
        <v>45848</v>
      </c>
      <c r="C323" t="s">
        <v>514</v>
      </c>
      <c r="D323" t="s">
        <v>45</v>
      </c>
      <c r="E323" s="9">
        <v>520000</v>
      </c>
      <c r="F323" s="8"/>
      <c r="G323" s="8">
        <f t="shared" si="8"/>
        <v>37951440.039999984</v>
      </c>
      <c r="I323" s="10" t="s">
        <v>46</v>
      </c>
      <c r="J323" s="10">
        <f t="shared" si="9"/>
        <v>7</v>
      </c>
    </row>
    <row r="324" spans="1:10" x14ac:dyDescent="0.35">
      <c r="A324" s="11">
        <v>45848</v>
      </c>
      <c r="B324" s="11">
        <v>45848</v>
      </c>
      <c r="C324" t="s">
        <v>515</v>
      </c>
      <c r="D324" t="s">
        <v>48</v>
      </c>
      <c r="E324" s="9">
        <v>680000</v>
      </c>
      <c r="F324" s="8"/>
      <c r="G324" s="8">
        <f t="shared" si="8"/>
        <v>37271440.039999984</v>
      </c>
      <c r="I324" s="10" t="s">
        <v>49</v>
      </c>
      <c r="J324" s="10">
        <f t="shared" si="9"/>
        <v>7</v>
      </c>
    </row>
    <row r="325" spans="1:10" x14ac:dyDescent="0.35">
      <c r="A325" s="11">
        <v>45852</v>
      </c>
      <c r="B325" s="11">
        <v>45852</v>
      </c>
      <c r="C325" t="s">
        <v>516</v>
      </c>
      <c r="D325" t="s">
        <v>517</v>
      </c>
      <c r="E325" s="8"/>
      <c r="F325" s="9">
        <v>2709250</v>
      </c>
      <c r="G325" s="8">
        <f t="shared" si="8"/>
        <v>39980690.039999984</v>
      </c>
      <c r="I325" s="10" t="s">
        <v>15</v>
      </c>
      <c r="J325" s="10">
        <f t="shared" si="9"/>
        <v>7</v>
      </c>
    </row>
    <row r="326" spans="1:10" x14ac:dyDescent="0.35">
      <c r="A326" s="11">
        <v>45852</v>
      </c>
      <c r="B326" s="11">
        <v>45852</v>
      </c>
      <c r="C326" t="s">
        <v>518</v>
      </c>
      <c r="D326" t="s">
        <v>17</v>
      </c>
      <c r="E326" s="9">
        <v>50</v>
      </c>
      <c r="F326" s="8"/>
      <c r="G326" s="8">
        <f t="shared" ref="G326:G389" si="10">G325+F326-E326</f>
        <v>39980640.039999984</v>
      </c>
      <c r="I326" s="10" t="s">
        <v>18</v>
      </c>
      <c r="J326" s="10">
        <f t="shared" ref="J326:J389" si="11">MONTH(A326)</f>
        <v>7</v>
      </c>
    </row>
    <row r="327" spans="1:10" x14ac:dyDescent="0.35">
      <c r="A327" s="11">
        <v>45852</v>
      </c>
      <c r="B327" s="11">
        <v>45852</v>
      </c>
      <c r="C327" t="s">
        <v>519</v>
      </c>
      <c r="D327" t="s">
        <v>520</v>
      </c>
      <c r="E327" s="8"/>
      <c r="F327" s="9">
        <v>1230782.5900000001</v>
      </c>
      <c r="G327" s="8">
        <f t="shared" si="10"/>
        <v>41211422.629999988</v>
      </c>
      <c r="I327" s="10" t="s">
        <v>27</v>
      </c>
      <c r="J327" s="10">
        <f t="shared" si="11"/>
        <v>7</v>
      </c>
    </row>
    <row r="328" spans="1:10" x14ac:dyDescent="0.35">
      <c r="A328" s="11">
        <v>45852</v>
      </c>
      <c r="B328" s="11">
        <v>45852</v>
      </c>
      <c r="C328" t="s">
        <v>521</v>
      </c>
      <c r="D328" t="s">
        <v>17</v>
      </c>
      <c r="E328" s="9">
        <v>50</v>
      </c>
      <c r="F328" s="8"/>
      <c r="G328" s="8">
        <f t="shared" si="10"/>
        <v>41211372.629999988</v>
      </c>
      <c r="I328" s="10" t="s">
        <v>18</v>
      </c>
      <c r="J328" s="10">
        <f t="shared" si="11"/>
        <v>7</v>
      </c>
    </row>
    <row r="329" spans="1:10" x14ac:dyDescent="0.35">
      <c r="A329" s="11">
        <v>45852</v>
      </c>
      <c r="B329" s="11">
        <v>45852</v>
      </c>
      <c r="C329" t="s">
        <v>522</v>
      </c>
      <c r="D329" t="s">
        <v>523</v>
      </c>
      <c r="E329" s="9">
        <v>3167000</v>
      </c>
      <c r="F329" s="8"/>
      <c r="G329" s="8">
        <f t="shared" si="10"/>
        <v>38044372.629999988</v>
      </c>
      <c r="I329" s="10" t="s">
        <v>37</v>
      </c>
      <c r="J329" s="10">
        <f t="shared" si="11"/>
        <v>7</v>
      </c>
    </row>
    <row r="330" spans="1:10" x14ac:dyDescent="0.35">
      <c r="A330" s="11">
        <v>45852</v>
      </c>
      <c r="B330" s="11">
        <v>45852</v>
      </c>
      <c r="C330" t="s">
        <v>524</v>
      </c>
      <c r="D330" t="s">
        <v>525</v>
      </c>
      <c r="E330" s="9">
        <v>2451500</v>
      </c>
      <c r="F330" s="8"/>
      <c r="G330" s="8">
        <f t="shared" si="10"/>
        <v>35592872.629999988</v>
      </c>
      <c r="I330" s="10" t="s">
        <v>37</v>
      </c>
      <c r="J330" s="10">
        <f t="shared" si="11"/>
        <v>7</v>
      </c>
    </row>
    <row r="331" spans="1:10" x14ac:dyDescent="0.35">
      <c r="A331" s="11">
        <v>45852</v>
      </c>
      <c r="B331" s="11">
        <v>45852</v>
      </c>
      <c r="C331" t="s">
        <v>526</v>
      </c>
      <c r="D331" t="s">
        <v>65</v>
      </c>
      <c r="E331" s="9">
        <v>992000</v>
      </c>
      <c r="F331" s="8"/>
      <c r="G331" s="8">
        <f t="shared" si="10"/>
        <v>34600872.629999988</v>
      </c>
      <c r="I331" s="10" t="s">
        <v>31</v>
      </c>
      <c r="J331" s="10">
        <f t="shared" si="11"/>
        <v>7</v>
      </c>
    </row>
    <row r="332" spans="1:10" x14ac:dyDescent="0.35">
      <c r="A332" s="11">
        <v>45853</v>
      </c>
      <c r="B332" s="11">
        <v>45853</v>
      </c>
      <c r="C332" t="s">
        <v>527</v>
      </c>
      <c r="D332" t="s">
        <v>70</v>
      </c>
      <c r="E332" s="9">
        <v>84000</v>
      </c>
      <c r="F332" s="8"/>
      <c r="G332" s="8">
        <f t="shared" si="10"/>
        <v>34516872.629999988</v>
      </c>
      <c r="I332" s="10" t="s">
        <v>71</v>
      </c>
      <c r="J332" s="10">
        <f t="shared" si="11"/>
        <v>7</v>
      </c>
    </row>
    <row r="333" spans="1:10" x14ac:dyDescent="0.35">
      <c r="A333" s="11">
        <v>45855</v>
      </c>
      <c r="B333" s="11">
        <v>45855</v>
      </c>
      <c r="C333" t="s">
        <v>528</v>
      </c>
      <c r="D333" t="s">
        <v>76</v>
      </c>
      <c r="E333" s="9">
        <v>1564000</v>
      </c>
      <c r="F333" s="8"/>
      <c r="G333" s="8">
        <f t="shared" si="10"/>
        <v>32952872.629999988</v>
      </c>
      <c r="I333" s="10" t="s">
        <v>77</v>
      </c>
      <c r="J333" s="10">
        <f t="shared" si="11"/>
        <v>7</v>
      </c>
    </row>
    <row r="334" spans="1:10" x14ac:dyDescent="0.35">
      <c r="A334" s="11">
        <v>45856</v>
      </c>
      <c r="B334" s="11">
        <v>45856</v>
      </c>
      <c r="C334" t="s">
        <v>529</v>
      </c>
      <c r="D334" t="s">
        <v>530</v>
      </c>
      <c r="E334" s="8"/>
      <c r="F334" s="9">
        <v>2399250</v>
      </c>
      <c r="G334" s="8">
        <f t="shared" si="10"/>
        <v>35352122.629999988</v>
      </c>
      <c r="I334" s="10" t="s">
        <v>15</v>
      </c>
      <c r="J334" s="10">
        <f t="shared" si="11"/>
        <v>7</v>
      </c>
    </row>
    <row r="335" spans="1:10" x14ac:dyDescent="0.35">
      <c r="A335" s="11">
        <v>45856</v>
      </c>
      <c r="B335" s="11">
        <v>45856</v>
      </c>
      <c r="C335" t="s">
        <v>531</v>
      </c>
      <c r="D335" t="s">
        <v>17</v>
      </c>
      <c r="E335" s="9">
        <v>50</v>
      </c>
      <c r="F335" s="8"/>
      <c r="G335" s="8">
        <f t="shared" si="10"/>
        <v>35352072.629999988</v>
      </c>
      <c r="I335" s="10" t="s">
        <v>18</v>
      </c>
      <c r="J335" s="10">
        <f t="shared" si="11"/>
        <v>7</v>
      </c>
    </row>
    <row r="336" spans="1:10" x14ac:dyDescent="0.35">
      <c r="A336" s="11">
        <v>45859</v>
      </c>
      <c r="B336" s="11">
        <v>45859</v>
      </c>
      <c r="C336" t="s">
        <v>532</v>
      </c>
      <c r="D336" t="s">
        <v>533</v>
      </c>
      <c r="E336" s="8"/>
      <c r="F336" s="9">
        <v>4536750</v>
      </c>
      <c r="G336" s="8">
        <f t="shared" si="10"/>
        <v>39888822.629999988</v>
      </c>
      <c r="I336" s="10" t="s">
        <v>15</v>
      </c>
      <c r="J336" s="10">
        <f t="shared" si="11"/>
        <v>7</v>
      </c>
    </row>
    <row r="337" spans="1:10" x14ac:dyDescent="0.35">
      <c r="A337" s="11">
        <v>45859</v>
      </c>
      <c r="B337" s="11">
        <v>45859</v>
      </c>
      <c r="C337" t="s">
        <v>534</v>
      </c>
      <c r="D337" t="s">
        <v>17</v>
      </c>
      <c r="E337" s="9">
        <v>50</v>
      </c>
      <c r="F337" s="8"/>
      <c r="G337" s="8">
        <f t="shared" si="10"/>
        <v>39888772.629999988</v>
      </c>
      <c r="I337" s="10" t="s">
        <v>18</v>
      </c>
      <c r="J337" s="10">
        <f t="shared" si="11"/>
        <v>7</v>
      </c>
    </row>
    <row r="338" spans="1:10" x14ac:dyDescent="0.35">
      <c r="A338" s="11">
        <v>45859</v>
      </c>
      <c r="B338" s="11">
        <v>45859</v>
      </c>
      <c r="C338" t="s">
        <v>535</v>
      </c>
      <c r="D338" t="s">
        <v>536</v>
      </c>
      <c r="E338" s="8"/>
      <c r="F338" s="9">
        <v>3000627.91</v>
      </c>
      <c r="G338" s="8">
        <f t="shared" si="10"/>
        <v>42889400.539999992</v>
      </c>
      <c r="I338" s="10" t="s">
        <v>40</v>
      </c>
      <c r="J338" s="10">
        <f t="shared" si="11"/>
        <v>7</v>
      </c>
    </row>
    <row r="339" spans="1:10" x14ac:dyDescent="0.35">
      <c r="A339" s="11">
        <v>45859</v>
      </c>
      <c r="B339" s="11">
        <v>45859</v>
      </c>
      <c r="C339" t="s">
        <v>537</v>
      </c>
      <c r="D339" t="s">
        <v>17</v>
      </c>
      <c r="E339" s="9">
        <v>50</v>
      </c>
      <c r="F339" s="8"/>
      <c r="G339" s="8">
        <f t="shared" si="10"/>
        <v>42889350.539999992</v>
      </c>
      <c r="I339" s="10" t="s">
        <v>18</v>
      </c>
      <c r="J339" s="10">
        <f t="shared" si="11"/>
        <v>7</v>
      </c>
    </row>
    <row r="340" spans="1:10" x14ac:dyDescent="0.35">
      <c r="A340" s="11">
        <v>45859</v>
      </c>
      <c r="B340" s="11">
        <v>45859</v>
      </c>
      <c r="C340" t="s">
        <v>538</v>
      </c>
      <c r="D340" t="s">
        <v>539</v>
      </c>
      <c r="E340" s="8"/>
      <c r="F340" s="9">
        <v>1554975.67</v>
      </c>
      <c r="G340" s="8">
        <f t="shared" si="10"/>
        <v>44444326.209999993</v>
      </c>
      <c r="I340" s="10" t="s">
        <v>27</v>
      </c>
      <c r="J340" s="10">
        <f t="shared" si="11"/>
        <v>7</v>
      </c>
    </row>
    <row r="341" spans="1:10" x14ac:dyDescent="0.35">
      <c r="A341" s="11">
        <v>45859</v>
      </c>
      <c r="B341" s="11">
        <v>45859</v>
      </c>
      <c r="C341" t="s">
        <v>540</v>
      </c>
      <c r="D341" t="s">
        <v>17</v>
      </c>
      <c r="E341" s="9">
        <v>50</v>
      </c>
      <c r="F341" s="8"/>
      <c r="G341" s="8">
        <f t="shared" si="10"/>
        <v>44444276.209999993</v>
      </c>
      <c r="I341" s="10" t="s">
        <v>18</v>
      </c>
      <c r="J341" s="10">
        <f t="shared" si="11"/>
        <v>7</v>
      </c>
    </row>
    <row r="342" spans="1:10" x14ac:dyDescent="0.35">
      <c r="A342" s="11">
        <v>45859</v>
      </c>
      <c r="B342" s="11">
        <v>45859</v>
      </c>
      <c r="C342" t="s">
        <v>541</v>
      </c>
      <c r="D342" t="s">
        <v>85</v>
      </c>
      <c r="E342" s="9">
        <v>1560800</v>
      </c>
      <c r="F342" s="8"/>
      <c r="G342" s="8">
        <f t="shared" si="10"/>
        <v>42883476.209999993</v>
      </c>
      <c r="I342" s="10" t="s">
        <v>86</v>
      </c>
      <c r="J342" s="10">
        <f t="shared" si="11"/>
        <v>7</v>
      </c>
    </row>
    <row r="343" spans="1:10" x14ac:dyDescent="0.35">
      <c r="A343" s="11">
        <v>45860</v>
      </c>
      <c r="B343" s="11">
        <v>45860</v>
      </c>
      <c r="C343" t="s">
        <v>542</v>
      </c>
      <c r="D343" t="s">
        <v>543</v>
      </c>
      <c r="E343" s="9">
        <v>3087000</v>
      </c>
      <c r="F343" s="8"/>
      <c r="G343" s="8">
        <f t="shared" si="10"/>
        <v>39796476.209999993</v>
      </c>
      <c r="I343" s="10" t="s">
        <v>37</v>
      </c>
      <c r="J343" s="10">
        <f t="shared" si="11"/>
        <v>7</v>
      </c>
    </row>
    <row r="344" spans="1:10" x14ac:dyDescent="0.35">
      <c r="A344" s="11">
        <v>45860</v>
      </c>
      <c r="B344" s="11">
        <v>45860</v>
      </c>
      <c r="C344" t="s">
        <v>544</v>
      </c>
      <c r="D344" t="s">
        <v>545</v>
      </c>
      <c r="E344" s="9">
        <v>2140000</v>
      </c>
      <c r="F344" s="8"/>
      <c r="G344" s="8">
        <f t="shared" si="10"/>
        <v>37656476.209999993</v>
      </c>
      <c r="I344" s="10" t="s">
        <v>37</v>
      </c>
      <c r="J344" s="10">
        <f t="shared" si="11"/>
        <v>7</v>
      </c>
    </row>
    <row r="345" spans="1:10" x14ac:dyDescent="0.35">
      <c r="A345" s="11">
        <v>45860</v>
      </c>
      <c r="B345" s="11">
        <v>45860</v>
      </c>
      <c r="C345" t="s">
        <v>546</v>
      </c>
      <c r="D345" t="s">
        <v>545</v>
      </c>
      <c r="E345" s="9">
        <v>2140000</v>
      </c>
      <c r="F345" s="8"/>
      <c r="G345" s="8">
        <f t="shared" si="10"/>
        <v>35516476.209999993</v>
      </c>
      <c r="I345" s="10" t="s">
        <v>37</v>
      </c>
      <c r="J345" s="10">
        <f t="shared" si="11"/>
        <v>7</v>
      </c>
    </row>
    <row r="346" spans="1:10" x14ac:dyDescent="0.35">
      <c r="A346" s="11">
        <v>45861</v>
      </c>
      <c r="B346" s="11">
        <v>45861</v>
      </c>
      <c r="C346" t="s">
        <v>547</v>
      </c>
      <c r="D346" t="s">
        <v>548</v>
      </c>
      <c r="E346" s="8"/>
      <c r="F346" s="9">
        <v>2977982.56</v>
      </c>
      <c r="G346" s="8">
        <f t="shared" si="10"/>
        <v>38494458.769999996</v>
      </c>
      <c r="I346" s="10" t="s">
        <v>40</v>
      </c>
      <c r="J346" s="10">
        <f t="shared" si="11"/>
        <v>7</v>
      </c>
    </row>
    <row r="347" spans="1:10" x14ac:dyDescent="0.35">
      <c r="A347" s="11">
        <v>45861</v>
      </c>
      <c r="B347" s="11">
        <v>45861</v>
      </c>
      <c r="C347" t="s">
        <v>549</v>
      </c>
      <c r="D347" t="s">
        <v>17</v>
      </c>
      <c r="E347" s="9">
        <v>50</v>
      </c>
      <c r="F347" s="8"/>
      <c r="G347" s="8">
        <f t="shared" si="10"/>
        <v>38494408.769999996</v>
      </c>
      <c r="I347" s="10" t="s">
        <v>18</v>
      </c>
      <c r="J347" s="10">
        <f t="shared" si="11"/>
        <v>7</v>
      </c>
    </row>
    <row r="348" spans="1:10" x14ac:dyDescent="0.35">
      <c r="A348" s="11">
        <v>45861</v>
      </c>
      <c r="B348" s="11">
        <v>45861</v>
      </c>
      <c r="C348" t="s">
        <v>550</v>
      </c>
      <c r="D348" t="s">
        <v>62</v>
      </c>
      <c r="E348" s="9">
        <v>1465000</v>
      </c>
      <c r="F348" s="8"/>
      <c r="G348" s="8">
        <f t="shared" si="10"/>
        <v>37029408.769999996</v>
      </c>
      <c r="I348" s="10" t="s">
        <v>63</v>
      </c>
      <c r="J348" s="10">
        <f t="shared" si="11"/>
        <v>7</v>
      </c>
    </row>
    <row r="349" spans="1:10" x14ac:dyDescent="0.35">
      <c r="A349" s="11">
        <v>45862</v>
      </c>
      <c r="B349" s="11">
        <v>45862</v>
      </c>
      <c r="C349" t="s">
        <v>551</v>
      </c>
      <c r="D349" t="s">
        <v>62</v>
      </c>
      <c r="E349" s="9">
        <v>684000</v>
      </c>
      <c r="F349" s="8"/>
      <c r="G349" s="8">
        <f t="shared" si="10"/>
        <v>36345408.769999996</v>
      </c>
      <c r="I349" s="10" t="s">
        <v>63</v>
      </c>
      <c r="J349" s="10">
        <f t="shared" si="11"/>
        <v>7</v>
      </c>
    </row>
    <row r="350" spans="1:10" x14ac:dyDescent="0.35">
      <c r="A350" s="11">
        <v>45863</v>
      </c>
      <c r="B350" s="11">
        <v>45863</v>
      </c>
      <c r="C350" t="s">
        <v>552</v>
      </c>
      <c r="D350" t="s">
        <v>553</v>
      </c>
      <c r="E350" s="8"/>
      <c r="F350" s="9">
        <v>3980250</v>
      </c>
      <c r="G350" s="8">
        <f t="shared" si="10"/>
        <v>40325658.769999996</v>
      </c>
      <c r="I350" s="10" t="s">
        <v>15</v>
      </c>
      <c r="J350" s="10">
        <f t="shared" si="11"/>
        <v>7</v>
      </c>
    </row>
    <row r="351" spans="1:10" x14ac:dyDescent="0.35">
      <c r="A351" s="11">
        <v>45863</v>
      </c>
      <c r="B351" s="11">
        <v>45863</v>
      </c>
      <c r="C351" t="s">
        <v>554</v>
      </c>
      <c r="D351" t="s">
        <v>17</v>
      </c>
      <c r="E351" s="9">
        <v>50</v>
      </c>
      <c r="F351" s="8"/>
      <c r="G351" s="8">
        <f t="shared" si="10"/>
        <v>40325608.769999996</v>
      </c>
      <c r="I351" s="10" t="s">
        <v>18</v>
      </c>
      <c r="J351" s="10">
        <f t="shared" si="11"/>
        <v>7</v>
      </c>
    </row>
    <row r="352" spans="1:10" x14ac:dyDescent="0.35">
      <c r="A352" s="11">
        <v>45863</v>
      </c>
      <c r="B352" s="11">
        <v>45863</v>
      </c>
      <c r="C352" t="s">
        <v>555</v>
      </c>
      <c r="D352" t="s">
        <v>556</v>
      </c>
      <c r="E352" s="8"/>
      <c r="F352" s="9">
        <v>2140000</v>
      </c>
      <c r="G352" s="8">
        <f t="shared" si="10"/>
        <v>42465608.769999996</v>
      </c>
      <c r="I352" s="10" t="s">
        <v>557</v>
      </c>
      <c r="J352" s="10">
        <f t="shared" si="11"/>
        <v>7</v>
      </c>
    </row>
    <row r="353" spans="1:10" x14ac:dyDescent="0.35">
      <c r="A353" s="11">
        <v>45866</v>
      </c>
      <c r="B353" s="11">
        <v>45866</v>
      </c>
      <c r="C353" t="s">
        <v>558</v>
      </c>
      <c r="D353" t="s">
        <v>559</v>
      </c>
      <c r="E353" s="8"/>
      <c r="F353" s="9">
        <v>1195531.57</v>
      </c>
      <c r="G353" s="8">
        <f t="shared" si="10"/>
        <v>43661140.339999996</v>
      </c>
      <c r="I353" s="10" t="s">
        <v>27</v>
      </c>
      <c r="J353" s="10">
        <f t="shared" si="11"/>
        <v>7</v>
      </c>
    </row>
    <row r="354" spans="1:10" x14ac:dyDescent="0.35">
      <c r="A354" s="11">
        <v>45866</v>
      </c>
      <c r="B354" s="11">
        <v>45866</v>
      </c>
      <c r="C354" t="s">
        <v>560</v>
      </c>
      <c r="D354" t="s">
        <v>17</v>
      </c>
      <c r="E354" s="9">
        <v>50</v>
      </c>
      <c r="F354" s="8"/>
      <c r="G354" s="8">
        <f t="shared" si="10"/>
        <v>43661090.339999996</v>
      </c>
      <c r="I354" s="10" t="s">
        <v>18</v>
      </c>
      <c r="J354" s="10">
        <f t="shared" si="11"/>
        <v>7</v>
      </c>
    </row>
    <row r="355" spans="1:10" x14ac:dyDescent="0.35">
      <c r="A355" s="11">
        <v>45866</v>
      </c>
      <c r="B355" s="11">
        <v>45866</v>
      </c>
      <c r="C355" t="s">
        <v>561</v>
      </c>
      <c r="D355" t="s">
        <v>106</v>
      </c>
      <c r="E355" s="9">
        <v>4520000</v>
      </c>
      <c r="F355" s="8"/>
      <c r="G355" s="8">
        <f t="shared" si="10"/>
        <v>39141090.339999996</v>
      </c>
      <c r="I355" s="10" t="s">
        <v>107</v>
      </c>
      <c r="J355" s="10">
        <f t="shared" si="11"/>
        <v>7</v>
      </c>
    </row>
    <row r="356" spans="1:10" x14ac:dyDescent="0.35">
      <c r="A356" s="11">
        <v>45866</v>
      </c>
      <c r="B356" s="11">
        <v>45866</v>
      </c>
      <c r="C356" t="s">
        <v>562</v>
      </c>
      <c r="D356" t="s">
        <v>100</v>
      </c>
      <c r="E356" s="9">
        <v>257000</v>
      </c>
      <c r="F356" s="8"/>
      <c r="G356" s="8">
        <f t="shared" si="10"/>
        <v>38884090.339999996</v>
      </c>
      <c r="I356" s="10" t="s">
        <v>101</v>
      </c>
      <c r="J356" s="10">
        <f t="shared" si="11"/>
        <v>7</v>
      </c>
    </row>
    <row r="357" spans="1:10" x14ac:dyDescent="0.35">
      <c r="A357" s="11">
        <v>45869</v>
      </c>
      <c r="B357" s="11">
        <v>45869</v>
      </c>
      <c r="C357" t="s">
        <v>563</v>
      </c>
      <c r="D357" t="s">
        <v>113</v>
      </c>
      <c r="E357" s="9">
        <v>11309.22</v>
      </c>
      <c r="F357" s="8"/>
      <c r="G357" s="8">
        <f t="shared" si="10"/>
        <v>38872781.119999997</v>
      </c>
      <c r="I357" s="10" t="s">
        <v>114</v>
      </c>
      <c r="J357" s="10">
        <f t="shared" si="11"/>
        <v>7</v>
      </c>
    </row>
    <row r="358" spans="1:10" x14ac:dyDescent="0.35">
      <c r="A358" s="11">
        <v>45869</v>
      </c>
      <c r="B358" s="11">
        <v>45869</v>
      </c>
      <c r="C358" t="s">
        <v>564</v>
      </c>
      <c r="D358" t="s">
        <v>116</v>
      </c>
      <c r="E358" s="9">
        <v>1550</v>
      </c>
      <c r="F358" s="8"/>
      <c r="G358" s="8">
        <f t="shared" si="10"/>
        <v>38871231.119999997</v>
      </c>
      <c r="I358" s="10" t="s">
        <v>117</v>
      </c>
      <c r="J358" s="10">
        <f t="shared" si="11"/>
        <v>7</v>
      </c>
    </row>
    <row r="359" spans="1:10" x14ac:dyDescent="0.35">
      <c r="A359" s="11">
        <v>45869</v>
      </c>
      <c r="B359" s="11">
        <v>45869</v>
      </c>
      <c r="C359" t="s">
        <v>565</v>
      </c>
      <c r="D359" t="s">
        <v>119</v>
      </c>
      <c r="E359" s="9">
        <v>124</v>
      </c>
      <c r="F359" s="8"/>
      <c r="G359" s="8">
        <f t="shared" si="10"/>
        <v>38871107.119999997</v>
      </c>
      <c r="I359" s="10" t="s">
        <v>120</v>
      </c>
      <c r="J359" s="10">
        <f t="shared" si="11"/>
        <v>7</v>
      </c>
    </row>
    <row r="360" spans="1:10" x14ac:dyDescent="0.35">
      <c r="A360" s="11">
        <v>45869</v>
      </c>
      <c r="B360" s="11">
        <v>45869</v>
      </c>
      <c r="C360" t="s">
        <v>566</v>
      </c>
      <c r="D360" t="s">
        <v>122</v>
      </c>
      <c r="E360" s="9">
        <v>125.55</v>
      </c>
      <c r="F360" s="8"/>
      <c r="G360" s="8">
        <f t="shared" si="10"/>
        <v>38870981.57</v>
      </c>
      <c r="I360" s="10" t="s">
        <v>123</v>
      </c>
      <c r="J360" s="10">
        <f t="shared" si="11"/>
        <v>7</v>
      </c>
    </row>
    <row r="361" spans="1:10" x14ac:dyDescent="0.35">
      <c r="A361" s="11">
        <v>45873</v>
      </c>
      <c r="B361" s="11">
        <v>45873</v>
      </c>
      <c r="C361" t="s">
        <v>567</v>
      </c>
      <c r="D361" t="s">
        <v>568</v>
      </c>
      <c r="E361" s="8"/>
      <c r="F361" s="9">
        <v>3827540.7</v>
      </c>
      <c r="G361" s="8">
        <f t="shared" si="10"/>
        <v>42698522.270000003</v>
      </c>
      <c r="I361" s="10" t="s">
        <v>40</v>
      </c>
      <c r="J361" s="10">
        <f t="shared" si="11"/>
        <v>8</v>
      </c>
    </row>
    <row r="362" spans="1:10" x14ac:dyDescent="0.35">
      <c r="A362" s="11">
        <v>45873</v>
      </c>
      <c r="B362" s="11">
        <v>45873</v>
      </c>
      <c r="C362" t="s">
        <v>569</v>
      </c>
      <c r="D362" t="s">
        <v>17</v>
      </c>
      <c r="E362" s="9">
        <v>50</v>
      </c>
      <c r="F362" s="8"/>
      <c r="G362" s="8">
        <f t="shared" si="10"/>
        <v>42698472.270000003</v>
      </c>
      <c r="I362" s="10" t="s">
        <v>18</v>
      </c>
      <c r="J362" s="10">
        <f t="shared" si="11"/>
        <v>8</v>
      </c>
    </row>
    <row r="363" spans="1:10" x14ac:dyDescent="0.35">
      <c r="A363" s="11">
        <v>45873</v>
      </c>
      <c r="B363" s="11">
        <v>45873</v>
      </c>
      <c r="C363" t="s">
        <v>570</v>
      </c>
      <c r="D363" t="s">
        <v>20</v>
      </c>
      <c r="E363" s="9">
        <v>164200</v>
      </c>
      <c r="F363" s="8"/>
      <c r="G363" s="8">
        <f t="shared" si="10"/>
        <v>42534272.270000003</v>
      </c>
      <c r="I363" s="10" t="s">
        <v>21</v>
      </c>
      <c r="J363" s="10">
        <f t="shared" si="11"/>
        <v>8</v>
      </c>
    </row>
    <row r="364" spans="1:10" x14ac:dyDescent="0.35">
      <c r="A364" s="11">
        <v>45873</v>
      </c>
      <c r="B364" s="11">
        <v>45873</v>
      </c>
      <c r="C364" t="s">
        <v>571</v>
      </c>
      <c r="D364" t="s">
        <v>572</v>
      </c>
      <c r="E364" s="9">
        <v>1891191.93</v>
      </c>
      <c r="F364" s="8"/>
      <c r="G364" s="8">
        <f t="shared" si="10"/>
        <v>40643080.340000004</v>
      </c>
      <c r="I364" s="10" t="s">
        <v>282</v>
      </c>
      <c r="J364" s="10">
        <f t="shared" si="11"/>
        <v>8</v>
      </c>
    </row>
    <row r="365" spans="1:10" x14ac:dyDescent="0.35">
      <c r="A365" s="11">
        <v>45874</v>
      </c>
      <c r="B365" s="11">
        <v>45874</v>
      </c>
      <c r="C365" t="s">
        <v>573</v>
      </c>
      <c r="D365" t="s">
        <v>574</v>
      </c>
      <c r="E365" s="8"/>
      <c r="F365" s="9">
        <v>3558895.35</v>
      </c>
      <c r="G365" s="8">
        <f t="shared" si="10"/>
        <v>44201975.690000005</v>
      </c>
      <c r="I365" s="10" t="s">
        <v>40</v>
      </c>
      <c r="J365" s="10">
        <f t="shared" si="11"/>
        <v>8</v>
      </c>
    </row>
    <row r="366" spans="1:10" x14ac:dyDescent="0.35">
      <c r="A366" s="11">
        <v>45874</v>
      </c>
      <c r="B366" s="11">
        <v>45874</v>
      </c>
      <c r="C366" t="s">
        <v>575</v>
      </c>
      <c r="D366" t="s">
        <v>17</v>
      </c>
      <c r="E366" s="9">
        <v>50</v>
      </c>
      <c r="F366" s="8"/>
      <c r="G366" s="8">
        <f t="shared" si="10"/>
        <v>44201925.690000005</v>
      </c>
      <c r="I366" s="10" t="s">
        <v>18</v>
      </c>
      <c r="J366" s="10">
        <f t="shared" si="11"/>
        <v>8</v>
      </c>
    </row>
    <row r="367" spans="1:10" x14ac:dyDescent="0.35">
      <c r="A367" s="11">
        <v>45874</v>
      </c>
      <c r="B367" s="11">
        <v>45874</v>
      </c>
      <c r="C367" t="s">
        <v>576</v>
      </c>
      <c r="D367" t="s">
        <v>30</v>
      </c>
      <c r="E367" s="9">
        <v>458000</v>
      </c>
      <c r="F367" s="8"/>
      <c r="G367" s="8">
        <f t="shared" si="10"/>
        <v>43743925.690000005</v>
      </c>
      <c r="I367" s="10" t="s">
        <v>31</v>
      </c>
      <c r="J367" s="10">
        <f t="shared" si="11"/>
        <v>8</v>
      </c>
    </row>
    <row r="368" spans="1:10" x14ac:dyDescent="0.35">
      <c r="A368" s="11">
        <v>45874</v>
      </c>
      <c r="B368" s="11">
        <v>45874</v>
      </c>
      <c r="C368" t="s">
        <v>577</v>
      </c>
      <c r="D368" t="s">
        <v>578</v>
      </c>
      <c r="E368" s="9">
        <v>9800000</v>
      </c>
      <c r="F368" s="8"/>
      <c r="G368" s="8">
        <f t="shared" si="10"/>
        <v>33943925.690000005</v>
      </c>
      <c r="I368" s="10" t="s">
        <v>174</v>
      </c>
      <c r="J368" s="10">
        <f t="shared" si="11"/>
        <v>8</v>
      </c>
    </row>
    <row r="369" spans="1:10" x14ac:dyDescent="0.35">
      <c r="A369" s="11">
        <v>45875</v>
      </c>
      <c r="B369" s="11">
        <v>45875</v>
      </c>
      <c r="C369" t="s">
        <v>579</v>
      </c>
      <c r="D369" t="s">
        <v>580</v>
      </c>
      <c r="E369" s="8"/>
      <c r="F369" s="9">
        <v>1250025.68</v>
      </c>
      <c r="G369" s="8">
        <f t="shared" si="10"/>
        <v>35193951.370000005</v>
      </c>
      <c r="I369" s="10" t="s">
        <v>27</v>
      </c>
      <c r="J369" s="10">
        <f t="shared" si="11"/>
        <v>8</v>
      </c>
    </row>
    <row r="370" spans="1:10" x14ac:dyDescent="0.35">
      <c r="A370" s="11">
        <v>45875</v>
      </c>
      <c r="B370" s="11">
        <v>45875</v>
      </c>
      <c r="C370" t="s">
        <v>581</v>
      </c>
      <c r="D370" t="s">
        <v>17</v>
      </c>
      <c r="E370" s="9">
        <v>50</v>
      </c>
      <c r="F370" s="8"/>
      <c r="G370" s="8">
        <f t="shared" si="10"/>
        <v>35193901.370000005</v>
      </c>
      <c r="I370" s="10" t="s">
        <v>18</v>
      </c>
      <c r="J370" s="10">
        <f t="shared" si="11"/>
        <v>8</v>
      </c>
    </row>
    <row r="371" spans="1:10" x14ac:dyDescent="0.35">
      <c r="A371" s="11">
        <v>45880</v>
      </c>
      <c r="B371" s="11">
        <v>45880</v>
      </c>
      <c r="C371" t="s">
        <v>582</v>
      </c>
      <c r="D371" t="s">
        <v>583</v>
      </c>
      <c r="E371" s="8"/>
      <c r="F371" s="9">
        <v>3984250</v>
      </c>
      <c r="G371" s="8">
        <f t="shared" si="10"/>
        <v>39178151.370000005</v>
      </c>
      <c r="I371" s="10" t="s">
        <v>15</v>
      </c>
      <c r="J371" s="10">
        <f t="shared" si="11"/>
        <v>8</v>
      </c>
    </row>
    <row r="372" spans="1:10" x14ac:dyDescent="0.35">
      <c r="A372" s="11">
        <v>45880</v>
      </c>
      <c r="B372" s="11">
        <v>45880</v>
      </c>
      <c r="C372" t="s">
        <v>584</v>
      </c>
      <c r="D372" t="s">
        <v>17</v>
      </c>
      <c r="E372" s="9">
        <v>50</v>
      </c>
      <c r="F372" s="8"/>
      <c r="G372" s="8">
        <f t="shared" si="10"/>
        <v>39178101.370000005</v>
      </c>
      <c r="I372" s="10" t="s">
        <v>18</v>
      </c>
      <c r="J372" s="10">
        <f t="shared" si="11"/>
        <v>8</v>
      </c>
    </row>
    <row r="373" spans="1:10" x14ac:dyDescent="0.35">
      <c r="A373" s="11">
        <v>45880</v>
      </c>
      <c r="B373" s="11">
        <v>45880</v>
      </c>
      <c r="C373" t="s">
        <v>585</v>
      </c>
      <c r="D373" t="s">
        <v>45</v>
      </c>
      <c r="E373" s="9">
        <v>585000</v>
      </c>
      <c r="F373" s="8"/>
      <c r="G373" s="8">
        <f t="shared" si="10"/>
        <v>38593101.370000005</v>
      </c>
      <c r="I373" s="10" t="s">
        <v>46</v>
      </c>
      <c r="J373" s="10">
        <f t="shared" si="11"/>
        <v>8</v>
      </c>
    </row>
    <row r="374" spans="1:10" x14ac:dyDescent="0.35">
      <c r="A374" s="11">
        <v>45880</v>
      </c>
      <c r="B374" s="11">
        <v>45880</v>
      </c>
      <c r="C374" t="s">
        <v>586</v>
      </c>
      <c r="D374" t="s">
        <v>48</v>
      </c>
      <c r="E374" s="9">
        <v>740000</v>
      </c>
      <c r="F374" s="8"/>
      <c r="G374" s="8">
        <f t="shared" si="10"/>
        <v>37853101.370000005</v>
      </c>
      <c r="I374" s="10" t="s">
        <v>49</v>
      </c>
      <c r="J374" s="10">
        <f t="shared" si="11"/>
        <v>8</v>
      </c>
    </row>
    <row r="375" spans="1:10" x14ac:dyDescent="0.35">
      <c r="A375" s="11">
        <v>45881</v>
      </c>
      <c r="B375" s="11">
        <v>45881</v>
      </c>
      <c r="C375" t="s">
        <v>587</v>
      </c>
      <c r="D375" t="s">
        <v>588</v>
      </c>
      <c r="E375" s="9">
        <v>2247500</v>
      </c>
      <c r="F375" s="8"/>
      <c r="G375" s="8">
        <f t="shared" si="10"/>
        <v>35605601.370000005</v>
      </c>
      <c r="I375" s="10" t="s">
        <v>37</v>
      </c>
      <c r="J375" s="10">
        <f t="shared" si="11"/>
        <v>8</v>
      </c>
    </row>
    <row r="376" spans="1:10" x14ac:dyDescent="0.35">
      <c r="A376" s="11">
        <v>45881</v>
      </c>
      <c r="B376" s="11">
        <v>45881</v>
      </c>
      <c r="C376" t="s">
        <v>589</v>
      </c>
      <c r="D376" t="s">
        <v>65</v>
      </c>
      <c r="E376" s="9">
        <v>711000</v>
      </c>
      <c r="F376" s="8"/>
      <c r="G376" s="8">
        <f t="shared" si="10"/>
        <v>34894601.370000005</v>
      </c>
      <c r="I376" s="10" t="s">
        <v>31</v>
      </c>
      <c r="J376" s="10">
        <f t="shared" si="11"/>
        <v>8</v>
      </c>
    </row>
    <row r="377" spans="1:10" x14ac:dyDescent="0.35">
      <c r="A377" s="11">
        <v>45881</v>
      </c>
      <c r="B377" s="11">
        <v>45881</v>
      </c>
      <c r="C377" t="s">
        <v>590</v>
      </c>
      <c r="D377" t="s">
        <v>387</v>
      </c>
      <c r="E377" s="8"/>
      <c r="F377" s="9">
        <v>2500000</v>
      </c>
      <c r="G377" s="8">
        <f t="shared" si="10"/>
        <v>37394601.370000005</v>
      </c>
      <c r="I377" s="10" t="s">
        <v>388</v>
      </c>
      <c r="J377" s="10">
        <f t="shared" si="11"/>
        <v>8</v>
      </c>
    </row>
    <row r="378" spans="1:10" x14ac:dyDescent="0.35">
      <c r="A378" s="11">
        <v>45881</v>
      </c>
      <c r="B378" s="11">
        <v>45881</v>
      </c>
      <c r="C378" t="s">
        <v>591</v>
      </c>
      <c r="D378" t="s">
        <v>17</v>
      </c>
      <c r="E378" s="9">
        <v>50</v>
      </c>
      <c r="F378" s="8"/>
      <c r="G378" s="8">
        <f t="shared" si="10"/>
        <v>37394551.370000005</v>
      </c>
      <c r="I378" s="10" t="s">
        <v>18</v>
      </c>
      <c r="J378" s="10">
        <f t="shared" si="11"/>
        <v>8</v>
      </c>
    </row>
    <row r="379" spans="1:10" x14ac:dyDescent="0.35">
      <c r="A379" s="11">
        <v>45882</v>
      </c>
      <c r="B379" s="11">
        <v>45882</v>
      </c>
      <c r="C379" t="s">
        <v>592</v>
      </c>
      <c r="D379" t="s">
        <v>593</v>
      </c>
      <c r="E379" s="8"/>
      <c r="F379" s="9">
        <v>4099046.51</v>
      </c>
      <c r="G379" s="8">
        <f t="shared" si="10"/>
        <v>41493597.880000003</v>
      </c>
      <c r="I379" s="10" t="s">
        <v>40</v>
      </c>
      <c r="J379" s="10">
        <f t="shared" si="11"/>
        <v>8</v>
      </c>
    </row>
    <row r="380" spans="1:10" x14ac:dyDescent="0.35">
      <c r="A380" s="11">
        <v>45882</v>
      </c>
      <c r="B380" s="11">
        <v>45882</v>
      </c>
      <c r="C380" t="s">
        <v>594</v>
      </c>
      <c r="D380" t="s">
        <v>17</v>
      </c>
      <c r="E380" s="9">
        <v>50</v>
      </c>
      <c r="F380" s="8"/>
      <c r="G380" s="8">
        <f t="shared" si="10"/>
        <v>41493547.880000003</v>
      </c>
      <c r="I380" s="10" t="s">
        <v>18</v>
      </c>
      <c r="J380" s="10">
        <f t="shared" si="11"/>
        <v>8</v>
      </c>
    </row>
    <row r="381" spans="1:10" x14ac:dyDescent="0.35">
      <c r="A381" s="11">
        <v>45882</v>
      </c>
      <c r="B381" s="11">
        <v>45882</v>
      </c>
      <c r="C381" t="s">
        <v>595</v>
      </c>
      <c r="D381" t="s">
        <v>596</v>
      </c>
      <c r="E381" s="8"/>
      <c r="F381" s="9">
        <v>1214325.3700000001</v>
      </c>
      <c r="G381" s="8">
        <f t="shared" si="10"/>
        <v>42707873.25</v>
      </c>
      <c r="I381" s="10" t="s">
        <v>27</v>
      </c>
      <c r="J381" s="10">
        <f t="shared" si="11"/>
        <v>8</v>
      </c>
    </row>
    <row r="382" spans="1:10" x14ac:dyDescent="0.35">
      <c r="A382" s="11">
        <v>45882</v>
      </c>
      <c r="B382" s="11">
        <v>45882</v>
      </c>
      <c r="C382" t="s">
        <v>597</v>
      </c>
      <c r="D382" t="s">
        <v>17</v>
      </c>
      <c r="E382" s="9">
        <v>50</v>
      </c>
      <c r="F382" s="8"/>
      <c r="G382" s="8">
        <f t="shared" si="10"/>
        <v>42707823.25</v>
      </c>
      <c r="I382" s="10" t="s">
        <v>18</v>
      </c>
      <c r="J382" s="10">
        <f t="shared" si="11"/>
        <v>8</v>
      </c>
    </row>
    <row r="383" spans="1:10" x14ac:dyDescent="0.35">
      <c r="A383" s="11">
        <v>45884</v>
      </c>
      <c r="B383" s="11">
        <v>45884</v>
      </c>
      <c r="C383" t="s">
        <v>598</v>
      </c>
      <c r="D383" t="s">
        <v>599</v>
      </c>
      <c r="E383" s="9">
        <v>2923500</v>
      </c>
      <c r="F383" s="8"/>
      <c r="G383" s="8">
        <f t="shared" si="10"/>
        <v>39784323.25</v>
      </c>
      <c r="I383" s="10" t="s">
        <v>37</v>
      </c>
      <c r="J383" s="10">
        <f t="shared" si="11"/>
        <v>8</v>
      </c>
    </row>
    <row r="384" spans="1:10" x14ac:dyDescent="0.35">
      <c r="A384" s="11">
        <v>45884</v>
      </c>
      <c r="B384" s="11">
        <v>45884</v>
      </c>
      <c r="C384" t="s">
        <v>600</v>
      </c>
      <c r="D384" t="s">
        <v>70</v>
      </c>
      <c r="E384" s="9">
        <v>39300</v>
      </c>
      <c r="F384" s="8"/>
      <c r="G384" s="8">
        <f t="shared" si="10"/>
        <v>39745023.25</v>
      </c>
      <c r="I384" s="10" t="s">
        <v>71</v>
      </c>
      <c r="J384" s="10">
        <f t="shared" si="11"/>
        <v>8</v>
      </c>
    </row>
    <row r="385" spans="1:10" x14ac:dyDescent="0.35">
      <c r="A385" s="11">
        <v>45887</v>
      </c>
      <c r="B385" s="11">
        <v>45887</v>
      </c>
      <c r="C385" t="s">
        <v>601</v>
      </c>
      <c r="D385" t="s">
        <v>602</v>
      </c>
      <c r="E385" s="8"/>
      <c r="F385" s="9">
        <v>3877250</v>
      </c>
      <c r="G385" s="8">
        <f t="shared" si="10"/>
        <v>43622273.25</v>
      </c>
      <c r="I385" s="10" t="s">
        <v>15</v>
      </c>
      <c r="J385" s="10">
        <f t="shared" si="11"/>
        <v>8</v>
      </c>
    </row>
    <row r="386" spans="1:10" x14ac:dyDescent="0.35">
      <c r="A386" s="11">
        <v>45887</v>
      </c>
      <c r="B386" s="11">
        <v>45887</v>
      </c>
      <c r="C386" t="s">
        <v>603</v>
      </c>
      <c r="D386" t="s">
        <v>17</v>
      </c>
      <c r="E386" s="9">
        <v>50</v>
      </c>
      <c r="F386" s="8"/>
      <c r="G386" s="8">
        <f t="shared" si="10"/>
        <v>43622223.25</v>
      </c>
      <c r="I386" s="10" t="s">
        <v>18</v>
      </c>
      <c r="J386" s="10">
        <f t="shared" si="11"/>
        <v>8</v>
      </c>
    </row>
    <row r="387" spans="1:10" x14ac:dyDescent="0.35">
      <c r="A387" s="11">
        <v>45887</v>
      </c>
      <c r="B387" s="11">
        <v>45887</v>
      </c>
      <c r="C387" t="s">
        <v>604</v>
      </c>
      <c r="D387" t="s">
        <v>605</v>
      </c>
      <c r="E387" s="8"/>
      <c r="F387" s="9">
        <v>2429750</v>
      </c>
      <c r="G387" s="8">
        <f t="shared" si="10"/>
        <v>46051973.25</v>
      </c>
      <c r="I387" s="10" t="s">
        <v>15</v>
      </c>
      <c r="J387" s="10">
        <f t="shared" si="11"/>
        <v>8</v>
      </c>
    </row>
    <row r="388" spans="1:10" x14ac:dyDescent="0.35">
      <c r="A388" s="11">
        <v>45887</v>
      </c>
      <c r="B388" s="11">
        <v>45887</v>
      </c>
      <c r="C388" t="s">
        <v>606</v>
      </c>
      <c r="D388" t="s">
        <v>17</v>
      </c>
      <c r="E388" s="9">
        <v>50</v>
      </c>
      <c r="F388" s="8"/>
      <c r="G388" s="8">
        <f t="shared" si="10"/>
        <v>46051923.25</v>
      </c>
      <c r="I388" s="10" t="s">
        <v>18</v>
      </c>
      <c r="J388" s="10">
        <f t="shared" si="11"/>
        <v>8</v>
      </c>
    </row>
    <row r="389" spans="1:10" x14ac:dyDescent="0.35">
      <c r="A389" s="11">
        <v>45887</v>
      </c>
      <c r="B389" s="11">
        <v>45887</v>
      </c>
      <c r="C389" t="s">
        <v>607</v>
      </c>
      <c r="D389" t="s">
        <v>141</v>
      </c>
      <c r="E389" s="9">
        <v>425000</v>
      </c>
      <c r="F389" s="8"/>
      <c r="G389" s="8">
        <f t="shared" si="10"/>
        <v>45626923.25</v>
      </c>
      <c r="I389" s="10" t="s">
        <v>77</v>
      </c>
      <c r="J389" s="10">
        <f t="shared" si="11"/>
        <v>8</v>
      </c>
    </row>
    <row r="390" spans="1:10" x14ac:dyDescent="0.35">
      <c r="A390" s="11">
        <v>45887</v>
      </c>
      <c r="B390" s="11">
        <v>45887</v>
      </c>
      <c r="C390" t="s">
        <v>608</v>
      </c>
      <c r="D390" t="s">
        <v>609</v>
      </c>
      <c r="E390" s="9">
        <v>7634200</v>
      </c>
      <c r="F390" s="8"/>
      <c r="G390" s="8">
        <f t="shared" ref="G390:G453" si="12">G389+F390-E390</f>
        <v>37992723.25</v>
      </c>
      <c r="I390" s="10" t="s">
        <v>37</v>
      </c>
      <c r="J390" s="10">
        <f t="shared" ref="J390:J453" si="13">MONTH(A390)</f>
        <v>8</v>
      </c>
    </row>
    <row r="391" spans="1:10" x14ac:dyDescent="0.35">
      <c r="A391" s="11">
        <v>45887</v>
      </c>
      <c r="B391" s="11">
        <v>45887</v>
      </c>
      <c r="C391" t="s">
        <v>610</v>
      </c>
      <c r="D391" t="s">
        <v>146</v>
      </c>
      <c r="E391" s="9">
        <v>42500</v>
      </c>
      <c r="F391" s="8"/>
      <c r="G391" s="8">
        <f t="shared" si="12"/>
        <v>37950223.25</v>
      </c>
      <c r="I391" s="10" t="s">
        <v>147</v>
      </c>
      <c r="J391" s="10">
        <f t="shared" si="13"/>
        <v>8</v>
      </c>
    </row>
    <row r="392" spans="1:10" x14ac:dyDescent="0.35">
      <c r="A392" s="11">
        <v>45888</v>
      </c>
      <c r="B392" s="11">
        <v>45888</v>
      </c>
      <c r="C392" t="s">
        <v>611</v>
      </c>
      <c r="D392" t="s">
        <v>612</v>
      </c>
      <c r="E392" s="8"/>
      <c r="F392" s="9">
        <v>2366750</v>
      </c>
      <c r="G392" s="8">
        <f t="shared" si="12"/>
        <v>40316973.25</v>
      </c>
      <c r="I392" s="10" t="s">
        <v>15</v>
      </c>
      <c r="J392" s="10">
        <f t="shared" si="13"/>
        <v>8</v>
      </c>
    </row>
    <row r="393" spans="1:10" x14ac:dyDescent="0.35">
      <c r="A393" s="11">
        <v>45888</v>
      </c>
      <c r="B393" s="11">
        <v>45888</v>
      </c>
      <c r="C393" t="s">
        <v>613</v>
      </c>
      <c r="D393" t="s">
        <v>17</v>
      </c>
      <c r="E393" s="9">
        <v>50</v>
      </c>
      <c r="F393" s="8"/>
      <c r="G393" s="8">
        <f t="shared" si="12"/>
        <v>40316923.25</v>
      </c>
      <c r="I393" s="10" t="s">
        <v>18</v>
      </c>
      <c r="J393" s="10">
        <f t="shared" si="13"/>
        <v>8</v>
      </c>
    </row>
    <row r="394" spans="1:10" x14ac:dyDescent="0.35">
      <c r="A394" s="11">
        <v>45889</v>
      </c>
      <c r="B394" s="11">
        <v>45889</v>
      </c>
      <c r="C394" t="s">
        <v>614</v>
      </c>
      <c r="D394" t="s">
        <v>615</v>
      </c>
      <c r="E394" s="8"/>
      <c r="F394" s="9">
        <v>1086945.72</v>
      </c>
      <c r="G394" s="8">
        <f t="shared" si="12"/>
        <v>41403868.969999999</v>
      </c>
      <c r="I394" s="10" t="s">
        <v>27</v>
      </c>
      <c r="J394" s="10">
        <f t="shared" si="13"/>
        <v>8</v>
      </c>
    </row>
    <row r="395" spans="1:10" x14ac:dyDescent="0.35">
      <c r="A395" s="11">
        <v>45889</v>
      </c>
      <c r="B395" s="11">
        <v>45889</v>
      </c>
      <c r="C395" t="s">
        <v>616</v>
      </c>
      <c r="D395" t="s">
        <v>17</v>
      </c>
      <c r="E395" s="9">
        <v>50</v>
      </c>
      <c r="F395" s="8"/>
      <c r="G395" s="8">
        <f t="shared" si="12"/>
        <v>41403818.969999999</v>
      </c>
      <c r="I395" s="10" t="s">
        <v>18</v>
      </c>
      <c r="J395" s="10">
        <f t="shared" si="13"/>
        <v>8</v>
      </c>
    </row>
    <row r="396" spans="1:10" x14ac:dyDescent="0.35">
      <c r="A396" s="11">
        <v>45889</v>
      </c>
      <c r="B396" s="11">
        <v>45889</v>
      </c>
      <c r="C396" t="s">
        <v>617</v>
      </c>
      <c r="D396" t="s">
        <v>618</v>
      </c>
      <c r="E396" s="9">
        <v>2797000</v>
      </c>
      <c r="F396" s="8"/>
      <c r="G396" s="8">
        <f t="shared" si="12"/>
        <v>38606818.969999999</v>
      </c>
      <c r="I396" s="10" t="s">
        <v>37</v>
      </c>
      <c r="J396" s="10">
        <f t="shared" si="13"/>
        <v>8</v>
      </c>
    </row>
    <row r="397" spans="1:10" x14ac:dyDescent="0.35">
      <c r="A397" s="11">
        <v>45889</v>
      </c>
      <c r="B397" s="11">
        <v>45889</v>
      </c>
      <c r="C397" t="s">
        <v>619</v>
      </c>
      <c r="D397" t="s">
        <v>62</v>
      </c>
      <c r="E397" s="9">
        <v>1119000</v>
      </c>
      <c r="F397" s="8"/>
      <c r="G397" s="8">
        <f t="shared" si="12"/>
        <v>37487818.969999999</v>
      </c>
      <c r="I397" s="10" t="s">
        <v>63</v>
      </c>
      <c r="J397" s="10">
        <f t="shared" si="13"/>
        <v>8</v>
      </c>
    </row>
    <row r="398" spans="1:10" x14ac:dyDescent="0.35">
      <c r="A398" s="11">
        <v>45890</v>
      </c>
      <c r="B398" s="11">
        <v>45890</v>
      </c>
      <c r="C398" t="s">
        <v>620</v>
      </c>
      <c r="D398" t="s">
        <v>85</v>
      </c>
      <c r="E398" s="9">
        <v>1480400</v>
      </c>
      <c r="F398" s="8"/>
      <c r="G398" s="8">
        <f t="shared" si="12"/>
        <v>36007418.969999999</v>
      </c>
      <c r="I398" s="10" t="s">
        <v>86</v>
      </c>
      <c r="J398" s="10">
        <f t="shared" si="13"/>
        <v>8</v>
      </c>
    </row>
    <row r="399" spans="1:10" x14ac:dyDescent="0.35">
      <c r="A399" s="11">
        <v>45891</v>
      </c>
      <c r="B399" s="11">
        <v>45891</v>
      </c>
      <c r="C399" t="s">
        <v>621</v>
      </c>
      <c r="D399" t="s">
        <v>622</v>
      </c>
      <c r="E399" s="9">
        <v>2471500</v>
      </c>
      <c r="F399" s="8"/>
      <c r="G399" s="8">
        <f t="shared" si="12"/>
        <v>33535918.969999999</v>
      </c>
      <c r="I399" s="10" t="s">
        <v>37</v>
      </c>
      <c r="J399" s="10">
        <f t="shared" si="13"/>
        <v>8</v>
      </c>
    </row>
    <row r="400" spans="1:10" x14ac:dyDescent="0.35">
      <c r="A400" s="11">
        <v>45894</v>
      </c>
      <c r="B400" s="11">
        <v>45894</v>
      </c>
      <c r="C400" t="s">
        <v>623</v>
      </c>
      <c r="D400" t="s">
        <v>62</v>
      </c>
      <c r="E400" s="9">
        <v>1020000</v>
      </c>
      <c r="F400" s="8"/>
      <c r="G400" s="8">
        <f t="shared" si="12"/>
        <v>32515918.969999999</v>
      </c>
      <c r="I400" s="10" t="s">
        <v>63</v>
      </c>
      <c r="J400" s="10">
        <f t="shared" si="13"/>
        <v>8</v>
      </c>
    </row>
    <row r="401" spans="1:10" x14ac:dyDescent="0.35">
      <c r="A401" s="11">
        <v>45895</v>
      </c>
      <c r="B401" s="11">
        <v>45895</v>
      </c>
      <c r="C401" t="s">
        <v>624</v>
      </c>
      <c r="D401" t="s">
        <v>625</v>
      </c>
      <c r="E401" s="9">
        <v>2750500</v>
      </c>
      <c r="F401" s="8"/>
      <c r="G401" s="8">
        <f t="shared" si="12"/>
        <v>29765418.969999999</v>
      </c>
      <c r="I401" s="10" t="s">
        <v>37</v>
      </c>
      <c r="J401" s="10">
        <f t="shared" si="13"/>
        <v>8</v>
      </c>
    </row>
    <row r="402" spans="1:10" x14ac:dyDescent="0.35">
      <c r="A402" s="11">
        <v>45895</v>
      </c>
      <c r="B402" s="11">
        <v>45895</v>
      </c>
      <c r="C402" t="s">
        <v>626</v>
      </c>
      <c r="D402" t="s">
        <v>100</v>
      </c>
      <c r="E402" s="9">
        <v>188000</v>
      </c>
      <c r="F402" s="8"/>
      <c r="G402" s="8">
        <f t="shared" si="12"/>
        <v>29577418.969999999</v>
      </c>
      <c r="I402" s="10" t="s">
        <v>101</v>
      </c>
      <c r="J402" s="10">
        <f t="shared" si="13"/>
        <v>8</v>
      </c>
    </row>
    <row r="403" spans="1:10" x14ac:dyDescent="0.35">
      <c r="A403" s="11">
        <v>45896</v>
      </c>
      <c r="B403" s="11">
        <v>45896</v>
      </c>
      <c r="C403" t="s">
        <v>627</v>
      </c>
      <c r="D403" t="s">
        <v>628</v>
      </c>
      <c r="E403" s="8"/>
      <c r="F403" s="9">
        <v>1176471.82</v>
      </c>
      <c r="G403" s="8">
        <f t="shared" si="12"/>
        <v>30753890.789999999</v>
      </c>
      <c r="I403" s="10" t="s">
        <v>27</v>
      </c>
      <c r="J403" s="10">
        <f t="shared" si="13"/>
        <v>8</v>
      </c>
    </row>
    <row r="404" spans="1:10" x14ac:dyDescent="0.35">
      <c r="A404" s="11">
        <v>45896</v>
      </c>
      <c r="B404" s="11">
        <v>45896</v>
      </c>
      <c r="C404" t="s">
        <v>629</v>
      </c>
      <c r="D404" t="s">
        <v>17</v>
      </c>
      <c r="E404" s="9">
        <v>50</v>
      </c>
      <c r="F404" s="8"/>
      <c r="G404" s="8">
        <f t="shared" si="12"/>
        <v>30753840.789999999</v>
      </c>
      <c r="I404" s="10" t="s">
        <v>18</v>
      </c>
      <c r="J404" s="10">
        <f t="shared" si="13"/>
        <v>8</v>
      </c>
    </row>
    <row r="405" spans="1:10" x14ac:dyDescent="0.35">
      <c r="A405" s="11">
        <v>45897</v>
      </c>
      <c r="B405" s="11">
        <v>45897</v>
      </c>
      <c r="C405" t="s">
        <v>630</v>
      </c>
      <c r="D405" t="s">
        <v>106</v>
      </c>
      <c r="E405" s="9">
        <v>4520000</v>
      </c>
      <c r="F405" s="8"/>
      <c r="G405" s="8">
        <f t="shared" si="12"/>
        <v>26233840.789999999</v>
      </c>
      <c r="I405" s="10" t="s">
        <v>107</v>
      </c>
      <c r="J405" s="10">
        <f t="shared" si="13"/>
        <v>8</v>
      </c>
    </row>
    <row r="406" spans="1:10" x14ac:dyDescent="0.35">
      <c r="A406" s="11">
        <v>45898</v>
      </c>
      <c r="B406" s="11">
        <v>45898</v>
      </c>
      <c r="C406" t="s">
        <v>631</v>
      </c>
      <c r="D406" t="s">
        <v>113</v>
      </c>
      <c r="E406" s="9">
        <v>13202.34</v>
      </c>
      <c r="F406" s="8"/>
      <c r="G406" s="8">
        <f t="shared" si="12"/>
        <v>26220638.449999999</v>
      </c>
      <c r="I406" s="10" t="s">
        <v>114</v>
      </c>
      <c r="J406" s="10">
        <f t="shared" si="13"/>
        <v>8</v>
      </c>
    </row>
    <row r="407" spans="1:10" x14ac:dyDescent="0.35">
      <c r="A407" s="11">
        <v>45898</v>
      </c>
      <c r="B407" s="11">
        <v>45898</v>
      </c>
      <c r="C407" t="s">
        <v>632</v>
      </c>
      <c r="D407" t="s">
        <v>116</v>
      </c>
      <c r="E407" s="9">
        <v>1650</v>
      </c>
      <c r="F407" s="8"/>
      <c r="G407" s="8">
        <f t="shared" si="12"/>
        <v>26218988.449999999</v>
      </c>
      <c r="I407" s="10" t="s">
        <v>117</v>
      </c>
      <c r="J407" s="10">
        <f t="shared" si="13"/>
        <v>8</v>
      </c>
    </row>
    <row r="408" spans="1:10" x14ac:dyDescent="0.35">
      <c r="A408" s="11">
        <v>45898</v>
      </c>
      <c r="B408" s="11">
        <v>45898</v>
      </c>
      <c r="C408" t="s">
        <v>633</v>
      </c>
      <c r="D408" t="s">
        <v>119</v>
      </c>
      <c r="E408" s="9">
        <v>132</v>
      </c>
      <c r="F408" s="8"/>
      <c r="G408" s="8">
        <f t="shared" si="12"/>
        <v>26218856.449999999</v>
      </c>
      <c r="I408" s="10" t="s">
        <v>120</v>
      </c>
      <c r="J408" s="10">
        <f t="shared" si="13"/>
        <v>8</v>
      </c>
    </row>
    <row r="409" spans="1:10" x14ac:dyDescent="0.35">
      <c r="A409" s="11">
        <v>45898</v>
      </c>
      <c r="B409" s="11">
        <v>45898</v>
      </c>
      <c r="C409" t="s">
        <v>634</v>
      </c>
      <c r="D409" t="s">
        <v>122</v>
      </c>
      <c r="E409" s="9">
        <v>133.65</v>
      </c>
      <c r="F409" s="8"/>
      <c r="G409" s="8">
        <f t="shared" si="12"/>
        <v>26218722.800000001</v>
      </c>
      <c r="I409" s="10" t="s">
        <v>123</v>
      </c>
      <c r="J409" s="10">
        <f t="shared" si="13"/>
        <v>8</v>
      </c>
    </row>
    <row r="410" spans="1:10" x14ac:dyDescent="0.35">
      <c r="A410" s="11">
        <v>45903</v>
      </c>
      <c r="B410" s="11">
        <v>45903</v>
      </c>
      <c r="C410" t="s">
        <v>635</v>
      </c>
      <c r="D410" t="s">
        <v>636</v>
      </c>
      <c r="E410" s="8"/>
      <c r="F410" s="9">
        <v>3885500</v>
      </c>
      <c r="G410" s="8">
        <f t="shared" si="12"/>
        <v>30104222.800000001</v>
      </c>
      <c r="I410" s="10" t="s">
        <v>15</v>
      </c>
      <c r="J410" s="10">
        <f t="shared" si="13"/>
        <v>9</v>
      </c>
    </row>
    <row r="411" spans="1:10" x14ac:dyDescent="0.35">
      <c r="A411" s="11">
        <v>45903</v>
      </c>
      <c r="B411" s="11">
        <v>45903</v>
      </c>
      <c r="C411" t="s">
        <v>637</v>
      </c>
      <c r="D411" t="s">
        <v>17</v>
      </c>
      <c r="E411" s="9">
        <v>50</v>
      </c>
      <c r="F411" s="8"/>
      <c r="G411" s="8">
        <f t="shared" si="12"/>
        <v>30104172.800000001</v>
      </c>
      <c r="I411" s="10" t="s">
        <v>18</v>
      </c>
      <c r="J411" s="10">
        <f t="shared" si="13"/>
        <v>9</v>
      </c>
    </row>
    <row r="412" spans="1:10" x14ac:dyDescent="0.35">
      <c r="A412" s="11">
        <v>45903</v>
      </c>
      <c r="B412" s="11">
        <v>45903</v>
      </c>
      <c r="C412" t="s">
        <v>638</v>
      </c>
      <c r="D412" t="s">
        <v>639</v>
      </c>
      <c r="E412" s="8"/>
      <c r="F412" s="9">
        <v>4823459.3</v>
      </c>
      <c r="G412" s="8">
        <f t="shared" si="12"/>
        <v>34927632.100000001</v>
      </c>
      <c r="I412" s="10" t="s">
        <v>40</v>
      </c>
      <c r="J412" s="10">
        <f t="shared" si="13"/>
        <v>9</v>
      </c>
    </row>
    <row r="413" spans="1:10" x14ac:dyDescent="0.35">
      <c r="A413" s="11">
        <v>45903</v>
      </c>
      <c r="B413" s="11">
        <v>45903</v>
      </c>
      <c r="C413" t="s">
        <v>640</v>
      </c>
      <c r="D413" t="s">
        <v>17</v>
      </c>
      <c r="E413" s="9">
        <v>50</v>
      </c>
      <c r="F413" s="8"/>
      <c r="G413" s="8">
        <f t="shared" si="12"/>
        <v>34927582.100000001</v>
      </c>
      <c r="I413" s="10" t="s">
        <v>18</v>
      </c>
      <c r="J413" s="10">
        <f t="shared" si="13"/>
        <v>9</v>
      </c>
    </row>
    <row r="414" spans="1:10" x14ac:dyDescent="0.35">
      <c r="A414" s="11">
        <v>45903</v>
      </c>
      <c r="B414" s="11">
        <v>45903</v>
      </c>
      <c r="C414" t="s">
        <v>641</v>
      </c>
      <c r="D414" t="s">
        <v>20</v>
      </c>
      <c r="E414" s="9">
        <v>150800</v>
      </c>
      <c r="F414" s="8"/>
      <c r="G414" s="8">
        <f t="shared" si="12"/>
        <v>34776782.100000001</v>
      </c>
      <c r="I414" s="10" t="s">
        <v>21</v>
      </c>
      <c r="J414" s="10">
        <f t="shared" si="13"/>
        <v>9</v>
      </c>
    </row>
    <row r="415" spans="1:10" x14ac:dyDescent="0.35">
      <c r="A415" s="11">
        <v>45903</v>
      </c>
      <c r="B415" s="11">
        <v>45903</v>
      </c>
      <c r="C415" t="s">
        <v>642</v>
      </c>
      <c r="D415" t="s">
        <v>643</v>
      </c>
      <c r="E415" s="9">
        <v>1891191.93</v>
      </c>
      <c r="F415" s="8"/>
      <c r="G415" s="8">
        <f t="shared" si="12"/>
        <v>32885590.170000002</v>
      </c>
      <c r="I415" s="10" t="s">
        <v>282</v>
      </c>
      <c r="J415" s="10">
        <f t="shared" si="13"/>
        <v>9</v>
      </c>
    </row>
    <row r="416" spans="1:10" x14ac:dyDescent="0.35">
      <c r="A416" s="11">
        <v>45904</v>
      </c>
      <c r="B416" s="11">
        <v>45904</v>
      </c>
      <c r="C416" t="s">
        <v>644</v>
      </c>
      <c r="D416" t="s">
        <v>645</v>
      </c>
      <c r="E416" s="8"/>
      <c r="F416" s="9">
        <v>4312389.53</v>
      </c>
      <c r="G416" s="8">
        <f t="shared" si="12"/>
        <v>37197979.700000003</v>
      </c>
      <c r="I416" s="10" t="s">
        <v>40</v>
      </c>
      <c r="J416" s="10">
        <f t="shared" si="13"/>
        <v>9</v>
      </c>
    </row>
    <row r="417" spans="1:10" x14ac:dyDescent="0.35">
      <c r="A417" s="11">
        <v>45904</v>
      </c>
      <c r="B417" s="11">
        <v>45904</v>
      </c>
      <c r="C417" t="s">
        <v>646</v>
      </c>
      <c r="D417" t="s">
        <v>17</v>
      </c>
      <c r="E417" s="9">
        <v>50</v>
      </c>
      <c r="F417" s="8"/>
      <c r="G417" s="8">
        <f t="shared" si="12"/>
        <v>37197929.700000003</v>
      </c>
      <c r="I417" s="10" t="s">
        <v>18</v>
      </c>
      <c r="J417" s="10">
        <f t="shared" si="13"/>
        <v>9</v>
      </c>
    </row>
    <row r="418" spans="1:10" x14ac:dyDescent="0.35">
      <c r="A418" s="11">
        <v>45905</v>
      </c>
      <c r="B418" s="11">
        <v>45905</v>
      </c>
      <c r="C418" t="s">
        <v>647</v>
      </c>
      <c r="D418" t="s">
        <v>648</v>
      </c>
      <c r="E418" s="8"/>
      <c r="F418" s="9">
        <v>2947232.56</v>
      </c>
      <c r="G418" s="8">
        <f t="shared" si="12"/>
        <v>40145162.260000005</v>
      </c>
      <c r="I418" s="10" t="s">
        <v>40</v>
      </c>
      <c r="J418" s="10">
        <f t="shared" si="13"/>
        <v>9</v>
      </c>
    </row>
    <row r="419" spans="1:10" x14ac:dyDescent="0.35">
      <c r="A419" s="11">
        <v>45905</v>
      </c>
      <c r="B419" s="11">
        <v>45905</v>
      </c>
      <c r="C419" t="s">
        <v>649</v>
      </c>
      <c r="D419" t="s">
        <v>17</v>
      </c>
      <c r="E419" s="9">
        <v>50</v>
      </c>
      <c r="F419" s="8"/>
      <c r="G419" s="8">
        <f t="shared" si="12"/>
        <v>40145112.260000005</v>
      </c>
      <c r="I419" s="10" t="s">
        <v>18</v>
      </c>
      <c r="J419" s="10">
        <f t="shared" si="13"/>
        <v>9</v>
      </c>
    </row>
    <row r="420" spans="1:10" x14ac:dyDescent="0.35">
      <c r="A420" s="11">
        <v>45905</v>
      </c>
      <c r="B420" s="11">
        <v>45905</v>
      </c>
      <c r="C420" t="s">
        <v>650</v>
      </c>
      <c r="D420" t="s">
        <v>30</v>
      </c>
      <c r="E420" s="9">
        <v>447000</v>
      </c>
      <c r="F420" s="8"/>
      <c r="G420" s="8">
        <f t="shared" si="12"/>
        <v>39698112.260000005</v>
      </c>
      <c r="I420" s="10" t="s">
        <v>31</v>
      </c>
      <c r="J420" s="10">
        <f t="shared" si="13"/>
        <v>9</v>
      </c>
    </row>
    <row r="421" spans="1:10" x14ac:dyDescent="0.35">
      <c r="A421" s="11">
        <v>45908</v>
      </c>
      <c r="B421" s="11">
        <v>45908</v>
      </c>
      <c r="C421" t="s">
        <v>651</v>
      </c>
      <c r="D421" t="s">
        <v>652</v>
      </c>
      <c r="E421" s="8"/>
      <c r="F421" s="9">
        <v>2597750</v>
      </c>
      <c r="G421" s="8">
        <f t="shared" si="12"/>
        <v>42295862.260000005</v>
      </c>
      <c r="I421" s="10" t="s">
        <v>15</v>
      </c>
      <c r="J421" s="10">
        <f t="shared" si="13"/>
        <v>9</v>
      </c>
    </row>
    <row r="422" spans="1:10" x14ac:dyDescent="0.35">
      <c r="A422" s="11">
        <v>45908</v>
      </c>
      <c r="B422" s="11">
        <v>45908</v>
      </c>
      <c r="C422" t="s">
        <v>653</v>
      </c>
      <c r="D422" t="s">
        <v>17</v>
      </c>
      <c r="E422" s="9">
        <v>50</v>
      </c>
      <c r="F422" s="8"/>
      <c r="G422" s="8">
        <f t="shared" si="12"/>
        <v>42295812.260000005</v>
      </c>
      <c r="I422" s="10" t="s">
        <v>18</v>
      </c>
      <c r="J422" s="10">
        <f t="shared" si="13"/>
        <v>9</v>
      </c>
    </row>
    <row r="423" spans="1:10" x14ac:dyDescent="0.35">
      <c r="A423" s="11">
        <v>45908</v>
      </c>
      <c r="B423" s="11">
        <v>45908</v>
      </c>
      <c r="C423" t="s">
        <v>654</v>
      </c>
      <c r="D423" t="s">
        <v>655</v>
      </c>
      <c r="E423" s="8"/>
      <c r="F423" s="9">
        <v>1674153.27</v>
      </c>
      <c r="G423" s="8">
        <f t="shared" si="12"/>
        <v>43969965.530000009</v>
      </c>
      <c r="I423" s="10" t="s">
        <v>27</v>
      </c>
      <c r="J423" s="10">
        <f t="shared" si="13"/>
        <v>9</v>
      </c>
    </row>
    <row r="424" spans="1:10" x14ac:dyDescent="0.35">
      <c r="A424" s="11">
        <v>45908</v>
      </c>
      <c r="B424" s="11">
        <v>45908</v>
      </c>
      <c r="C424" t="s">
        <v>656</v>
      </c>
      <c r="D424" t="s">
        <v>17</v>
      </c>
      <c r="E424" s="9">
        <v>50</v>
      </c>
      <c r="F424" s="8"/>
      <c r="G424" s="8">
        <f t="shared" si="12"/>
        <v>43969915.530000009</v>
      </c>
      <c r="I424" s="10" t="s">
        <v>18</v>
      </c>
      <c r="J424" s="10">
        <f t="shared" si="13"/>
        <v>9</v>
      </c>
    </row>
    <row r="425" spans="1:10" x14ac:dyDescent="0.35">
      <c r="A425" s="11">
        <v>45910</v>
      </c>
      <c r="B425" s="11">
        <v>45910</v>
      </c>
      <c r="C425" t="s">
        <v>657</v>
      </c>
      <c r="D425" t="s">
        <v>658</v>
      </c>
      <c r="E425" s="9">
        <v>2730500</v>
      </c>
      <c r="F425" s="8"/>
      <c r="G425" s="8">
        <f t="shared" si="12"/>
        <v>41239415.530000009</v>
      </c>
      <c r="I425" s="10" t="s">
        <v>37</v>
      </c>
      <c r="J425" s="10">
        <f t="shared" si="13"/>
        <v>9</v>
      </c>
    </row>
    <row r="426" spans="1:10" x14ac:dyDescent="0.35">
      <c r="A426" s="11">
        <v>45910</v>
      </c>
      <c r="B426" s="11">
        <v>45910</v>
      </c>
      <c r="C426" t="s">
        <v>659</v>
      </c>
      <c r="D426" t="s">
        <v>45</v>
      </c>
      <c r="E426" s="9">
        <v>585000</v>
      </c>
      <c r="F426" s="8"/>
      <c r="G426" s="8">
        <f t="shared" si="12"/>
        <v>40654415.530000009</v>
      </c>
      <c r="I426" s="10" t="s">
        <v>46</v>
      </c>
      <c r="J426" s="10">
        <f t="shared" si="13"/>
        <v>9</v>
      </c>
    </row>
    <row r="427" spans="1:10" x14ac:dyDescent="0.35">
      <c r="A427" s="11">
        <v>45910</v>
      </c>
      <c r="B427" s="11">
        <v>45910</v>
      </c>
      <c r="C427" t="s">
        <v>660</v>
      </c>
      <c r="D427" t="s">
        <v>48</v>
      </c>
      <c r="E427" s="9">
        <v>740000</v>
      </c>
      <c r="F427" s="8"/>
      <c r="G427" s="8">
        <f t="shared" si="12"/>
        <v>39914415.530000009</v>
      </c>
      <c r="I427" s="10" t="s">
        <v>49</v>
      </c>
      <c r="J427" s="10">
        <f t="shared" si="13"/>
        <v>9</v>
      </c>
    </row>
    <row r="428" spans="1:10" x14ac:dyDescent="0.35">
      <c r="A428" s="11">
        <v>45911</v>
      </c>
      <c r="B428" s="11">
        <v>45911</v>
      </c>
      <c r="C428" t="s">
        <v>661</v>
      </c>
      <c r="D428" t="s">
        <v>662</v>
      </c>
      <c r="E428" s="9">
        <v>2918000</v>
      </c>
      <c r="F428" s="8"/>
      <c r="G428" s="8">
        <f t="shared" si="12"/>
        <v>36996415.530000009</v>
      </c>
      <c r="I428" s="10" t="s">
        <v>37</v>
      </c>
      <c r="J428" s="10">
        <f t="shared" si="13"/>
        <v>9</v>
      </c>
    </row>
    <row r="429" spans="1:10" x14ac:dyDescent="0.35">
      <c r="A429" s="11">
        <v>45912</v>
      </c>
      <c r="B429" s="11">
        <v>45912</v>
      </c>
      <c r="C429" t="s">
        <v>663</v>
      </c>
      <c r="D429" t="s">
        <v>65</v>
      </c>
      <c r="E429" s="9">
        <v>849000</v>
      </c>
      <c r="F429" s="8"/>
      <c r="G429" s="8">
        <f t="shared" si="12"/>
        <v>36147415.530000009</v>
      </c>
      <c r="I429" s="10" t="s">
        <v>31</v>
      </c>
      <c r="J429" s="10">
        <f t="shared" si="13"/>
        <v>9</v>
      </c>
    </row>
    <row r="430" spans="1:10" x14ac:dyDescent="0.35">
      <c r="A430" s="11">
        <v>45915</v>
      </c>
      <c r="B430" s="11">
        <v>45915</v>
      </c>
      <c r="C430" t="s">
        <v>664</v>
      </c>
      <c r="D430" t="s">
        <v>665</v>
      </c>
      <c r="E430" s="8"/>
      <c r="F430" s="9">
        <v>1579955.46</v>
      </c>
      <c r="G430" s="8">
        <f t="shared" si="12"/>
        <v>37727370.99000001</v>
      </c>
      <c r="I430" s="10" t="s">
        <v>27</v>
      </c>
      <c r="J430" s="10">
        <f t="shared" si="13"/>
        <v>9</v>
      </c>
    </row>
    <row r="431" spans="1:10" x14ac:dyDescent="0.35">
      <c r="A431" s="11">
        <v>45915</v>
      </c>
      <c r="B431" s="11">
        <v>45915</v>
      </c>
      <c r="C431" t="s">
        <v>666</v>
      </c>
      <c r="D431" t="s">
        <v>17</v>
      </c>
      <c r="E431" s="9">
        <v>50</v>
      </c>
      <c r="F431" s="8"/>
      <c r="G431" s="8">
        <f t="shared" si="12"/>
        <v>37727320.99000001</v>
      </c>
      <c r="I431" s="10" t="s">
        <v>18</v>
      </c>
      <c r="J431" s="10">
        <f t="shared" si="13"/>
        <v>9</v>
      </c>
    </row>
    <row r="432" spans="1:10" x14ac:dyDescent="0.35">
      <c r="A432" s="11">
        <v>45915</v>
      </c>
      <c r="B432" s="11">
        <v>45915</v>
      </c>
      <c r="C432" t="s">
        <v>667</v>
      </c>
      <c r="D432" t="s">
        <v>668</v>
      </c>
      <c r="E432" s="9">
        <v>3600500</v>
      </c>
      <c r="F432" s="8"/>
      <c r="G432" s="8">
        <f t="shared" si="12"/>
        <v>34126820.99000001</v>
      </c>
      <c r="I432" s="10" t="s">
        <v>37</v>
      </c>
      <c r="J432" s="10">
        <f t="shared" si="13"/>
        <v>9</v>
      </c>
    </row>
    <row r="433" spans="1:10" x14ac:dyDescent="0.35">
      <c r="A433" s="11">
        <v>45915</v>
      </c>
      <c r="B433" s="11">
        <v>45915</v>
      </c>
      <c r="C433" t="s">
        <v>669</v>
      </c>
      <c r="D433" t="s">
        <v>62</v>
      </c>
      <c r="E433" s="9">
        <v>1075000</v>
      </c>
      <c r="F433" s="8"/>
      <c r="G433" s="8">
        <f t="shared" si="12"/>
        <v>33051820.99000001</v>
      </c>
      <c r="I433" s="10" t="s">
        <v>63</v>
      </c>
      <c r="J433" s="10">
        <f t="shared" si="13"/>
        <v>9</v>
      </c>
    </row>
    <row r="434" spans="1:10" x14ac:dyDescent="0.35">
      <c r="A434" s="11">
        <v>45915</v>
      </c>
      <c r="B434" s="11">
        <v>45915</v>
      </c>
      <c r="C434" t="s">
        <v>670</v>
      </c>
      <c r="D434" t="s">
        <v>70</v>
      </c>
      <c r="E434" s="9">
        <v>81900</v>
      </c>
      <c r="F434" s="8"/>
      <c r="G434" s="8">
        <f t="shared" si="12"/>
        <v>32969920.99000001</v>
      </c>
      <c r="I434" s="10" t="s">
        <v>71</v>
      </c>
      <c r="J434" s="10">
        <f t="shared" si="13"/>
        <v>9</v>
      </c>
    </row>
    <row r="435" spans="1:10" x14ac:dyDescent="0.35">
      <c r="A435" s="11">
        <v>45917</v>
      </c>
      <c r="B435" s="11">
        <v>45917</v>
      </c>
      <c r="C435" t="s">
        <v>671</v>
      </c>
      <c r="D435" t="s">
        <v>141</v>
      </c>
      <c r="E435" s="9">
        <v>511000</v>
      </c>
      <c r="F435" s="8"/>
      <c r="G435" s="8">
        <f t="shared" si="12"/>
        <v>32458920.99000001</v>
      </c>
      <c r="I435" s="10" t="s">
        <v>77</v>
      </c>
      <c r="J435" s="10">
        <f t="shared" si="13"/>
        <v>9</v>
      </c>
    </row>
    <row r="436" spans="1:10" x14ac:dyDescent="0.35">
      <c r="A436" s="11">
        <v>45917</v>
      </c>
      <c r="B436" s="11">
        <v>45917</v>
      </c>
      <c r="C436" t="s">
        <v>672</v>
      </c>
      <c r="D436" t="s">
        <v>673</v>
      </c>
      <c r="E436" s="8"/>
      <c r="F436" s="9">
        <v>1800000</v>
      </c>
      <c r="G436" s="8">
        <f t="shared" si="12"/>
        <v>34258920.99000001</v>
      </c>
      <c r="I436" s="10" t="s">
        <v>674</v>
      </c>
      <c r="J436" s="10">
        <f t="shared" si="13"/>
        <v>9</v>
      </c>
    </row>
    <row r="437" spans="1:10" x14ac:dyDescent="0.35">
      <c r="A437" s="11">
        <v>45917</v>
      </c>
      <c r="B437" s="11">
        <v>45917</v>
      </c>
      <c r="C437" t="s">
        <v>675</v>
      </c>
      <c r="D437" t="s">
        <v>17</v>
      </c>
      <c r="E437" s="9">
        <v>50</v>
      </c>
      <c r="F437" s="8"/>
      <c r="G437" s="8">
        <f t="shared" si="12"/>
        <v>34258870.99000001</v>
      </c>
      <c r="I437" s="10" t="s">
        <v>18</v>
      </c>
      <c r="J437" s="10">
        <f t="shared" si="13"/>
        <v>9</v>
      </c>
    </row>
    <row r="438" spans="1:10" x14ac:dyDescent="0.35">
      <c r="A438" s="11">
        <v>45922</v>
      </c>
      <c r="B438" s="11">
        <v>45922</v>
      </c>
      <c r="C438" t="s">
        <v>676</v>
      </c>
      <c r="D438" t="s">
        <v>677</v>
      </c>
      <c r="E438" s="8"/>
      <c r="F438" s="9">
        <v>1310051.04</v>
      </c>
      <c r="G438" s="8">
        <f t="shared" si="12"/>
        <v>35568922.030000009</v>
      </c>
      <c r="I438" s="10" t="s">
        <v>27</v>
      </c>
      <c r="J438" s="10">
        <f t="shared" si="13"/>
        <v>9</v>
      </c>
    </row>
    <row r="439" spans="1:10" x14ac:dyDescent="0.35">
      <c r="A439" s="11">
        <v>45922</v>
      </c>
      <c r="B439" s="11">
        <v>45922</v>
      </c>
      <c r="C439" t="s">
        <v>678</v>
      </c>
      <c r="D439" t="s">
        <v>17</v>
      </c>
      <c r="E439" s="9">
        <v>50</v>
      </c>
      <c r="F439" s="8"/>
      <c r="G439" s="8">
        <f t="shared" si="12"/>
        <v>35568872.030000009</v>
      </c>
      <c r="I439" s="10" t="s">
        <v>18</v>
      </c>
      <c r="J439" s="10">
        <f t="shared" si="13"/>
        <v>9</v>
      </c>
    </row>
    <row r="440" spans="1:10" x14ac:dyDescent="0.35">
      <c r="A440" s="11">
        <v>45922</v>
      </c>
      <c r="B440" s="11">
        <v>45922</v>
      </c>
      <c r="C440" t="s">
        <v>679</v>
      </c>
      <c r="D440" t="s">
        <v>680</v>
      </c>
      <c r="E440" s="9">
        <v>2487000</v>
      </c>
      <c r="F440" s="8"/>
      <c r="G440" s="8">
        <f t="shared" si="12"/>
        <v>33081872.030000009</v>
      </c>
      <c r="I440" s="10" t="s">
        <v>37</v>
      </c>
      <c r="J440" s="10">
        <f t="shared" si="13"/>
        <v>9</v>
      </c>
    </row>
    <row r="441" spans="1:10" x14ac:dyDescent="0.35">
      <c r="A441" s="11">
        <v>45922</v>
      </c>
      <c r="B441" s="11">
        <v>45922</v>
      </c>
      <c r="C441" t="s">
        <v>681</v>
      </c>
      <c r="D441" t="s">
        <v>85</v>
      </c>
      <c r="E441" s="9">
        <v>1501300</v>
      </c>
      <c r="F441" s="8"/>
      <c r="G441" s="8">
        <f t="shared" si="12"/>
        <v>31580572.030000009</v>
      </c>
      <c r="I441" s="10" t="s">
        <v>86</v>
      </c>
      <c r="J441" s="10">
        <f t="shared" si="13"/>
        <v>9</v>
      </c>
    </row>
    <row r="442" spans="1:10" x14ac:dyDescent="0.35">
      <c r="A442" s="11">
        <v>45922</v>
      </c>
      <c r="B442" s="11">
        <v>45922</v>
      </c>
      <c r="C442" t="s">
        <v>682</v>
      </c>
      <c r="D442" t="s">
        <v>245</v>
      </c>
      <c r="E442" s="9">
        <v>450000</v>
      </c>
      <c r="F442" s="8"/>
      <c r="G442" s="8">
        <f t="shared" si="12"/>
        <v>31130572.030000009</v>
      </c>
      <c r="I442" s="10" t="s">
        <v>246</v>
      </c>
      <c r="J442" s="10">
        <f t="shared" si="13"/>
        <v>9</v>
      </c>
    </row>
    <row r="443" spans="1:10" x14ac:dyDescent="0.35">
      <c r="A443" s="11">
        <v>45923</v>
      </c>
      <c r="B443" s="11">
        <v>45923</v>
      </c>
      <c r="C443" t="s">
        <v>683</v>
      </c>
      <c r="D443" t="s">
        <v>684</v>
      </c>
      <c r="E443" s="8"/>
      <c r="F443" s="9">
        <v>2162500</v>
      </c>
      <c r="G443" s="8">
        <f t="shared" si="12"/>
        <v>33293072.030000009</v>
      </c>
      <c r="I443" s="10" t="s">
        <v>15</v>
      </c>
      <c r="J443" s="10">
        <f t="shared" si="13"/>
        <v>9</v>
      </c>
    </row>
    <row r="444" spans="1:10" x14ac:dyDescent="0.35">
      <c r="A444" s="11">
        <v>45923</v>
      </c>
      <c r="B444" s="11">
        <v>45923</v>
      </c>
      <c r="C444" t="s">
        <v>685</v>
      </c>
      <c r="D444" t="s">
        <v>17</v>
      </c>
      <c r="E444" s="9">
        <v>50</v>
      </c>
      <c r="F444" s="8"/>
      <c r="G444" s="8">
        <f t="shared" si="12"/>
        <v>33293022.030000009</v>
      </c>
      <c r="I444" s="10" t="s">
        <v>18</v>
      </c>
      <c r="J444" s="10">
        <f t="shared" si="13"/>
        <v>9</v>
      </c>
    </row>
    <row r="445" spans="1:10" x14ac:dyDescent="0.35">
      <c r="A445" s="11">
        <v>45924</v>
      </c>
      <c r="B445" s="11">
        <v>45924</v>
      </c>
      <c r="C445" t="s">
        <v>686</v>
      </c>
      <c r="D445" t="s">
        <v>62</v>
      </c>
      <c r="E445" s="9">
        <v>681000</v>
      </c>
      <c r="F445" s="8"/>
      <c r="G445" s="8">
        <f t="shared" si="12"/>
        <v>32612022.030000009</v>
      </c>
      <c r="I445" s="10" t="s">
        <v>63</v>
      </c>
      <c r="J445" s="10">
        <f t="shared" si="13"/>
        <v>9</v>
      </c>
    </row>
    <row r="446" spans="1:10" x14ac:dyDescent="0.35">
      <c r="A446" s="11">
        <v>45924</v>
      </c>
      <c r="B446" s="11">
        <v>45924</v>
      </c>
      <c r="C446" t="s">
        <v>687</v>
      </c>
      <c r="D446" t="s">
        <v>688</v>
      </c>
      <c r="E446" s="9">
        <v>620000</v>
      </c>
      <c r="F446" s="8"/>
      <c r="G446" s="8">
        <f t="shared" si="12"/>
        <v>31992022.030000009</v>
      </c>
      <c r="I446" s="10" t="s">
        <v>246</v>
      </c>
      <c r="J446" s="10">
        <f t="shared" si="13"/>
        <v>9</v>
      </c>
    </row>
    <row r="447" spans="1:10" x14ac:dyDescent="0.35">
      <c r="A447" s="11">
        <v>45926</v>
      </c>
      <c r="B447" s="11">
        <v>45926</v>
      </c>
      <c r="C447" t="s">
        <v>689</v>
      </c>
      <c r="D447" t="s">
        <v>100</v>
      </c>
      <c r="E447" s="9">
        <v>208000</v>
      </c>
      <c r="F447" s="8"/>
      <c r="G447" s="8">
        <f t="shared" si="12"/>
        <v>31784022.030000009</v>
      </c>
      <c r="I447" s="10" t="s">
        <v>101</v>
      </c>
      <c r="J447" s="10">
        <f t="shared" si="13"/>
        <v>9</v>
      </c>
    </row>
    <row r="448" spans="1:10" x14ac:dyDescent="0.35">
      <c r="A448" s="11">
        <v>45929</v>
      </c>
      <c r="B448" s="11">
        <v>45929</v>
      </c>
      <c r="C448" t="s">
        <v>690</v>
      </c>
      <c r="D448" t="s">
        <v>691</v>
      </c>
      <c r="E448" s="8"/>
      <c r="F448" s="9">
        <v>2162500</v>
      </c>
      <c r="G448" s="8">
        <f t="shared" si="12"/>
        <v>33946522.030000009</v>
      </c>
      <c r="I448" s="10" t="s">
        <v>15</v>
      </c>
      <c r="J448" s="10">
        <f t="shared" si="13"/>
        <v>9</v>
      </c>
    </row>
    <row r="449" spans="1:10" x14ac:dyDescent="0.35">
      <c r="A449" s="11">
        <v>45929</v>
      </c>
      <c r="B449" s="11">
        <v>45929</v>
      </c>
      <c r="C449" t="s">
        <v>692</v>
      </c>
      <c r="D449" t="s">
        <v>17</v>
      </c>
      <c r="E449" s="9">
        <v>50</v>
      </c>
      <c r="F449" s="8"/>
      <c r="G449" s="8">
        <f t="shared" si="12"/>
        <v>33946472.030000009</v>
      </c>
      <c r="I449" s="10" t="s">
        <v>18</v>
      </c>
      <c r="J449" s="10">
        <f t="shared" si="13"/>
        <v>9</v>
      </c>
    </row>
    <row r="450" spans="1:10" x14ac:dyDescent="0.35">
      <c r="A450" s="11">
        <v>45929</v>
      </c>
      <c r="B450" s="11">
        <v>45929</v>
      </c>
      <c r="C450" t="s">
        <v>693</v>
      </c>
      <c r="D450" t="s">
        <v>694</v>
      </c>
      <c r="E450" s="8"/>
      <c r="F450" s="9">
        <v>3821250</v>
      </c>
      <c r="G450" s="8">
        <f t="shared" si="12"/>
        <v>37767722.030000009</v>
      </c>
      <c r="I450" s="10" t="s">
        <v>15</v>
      </c>
      <c r="J450" s="10">
        <f t="shared" si="13"/>
        <v>9</v>
      </c>
    </row>
    <row r="451" spans="1:10" x14ac:dyDescent="0.35">
      <c r="A451" s="11">
        <v>45929</v>
      </c>
      <c r="B451" s="11">
        <v>45929</v>
      </c>
      <c r="C451" t="s">
        <v>695</v>
      </c>
      <c r="D451" t="s">
        <v>17</v>
      </c>
      <c r="E451" s="9">
        <v>50</v>
      </c>
      <c r="F451" s="8"/>
      <c r="G451" s="8">
        <f t="shared" si="12"/>
        <v>37767672.030000009</v>
      </c>
      <c r="I451" s="10" t="s">
        <v>18</v>
      </c>
      <c r="J451" s="10">
        <f t="shared" si="13"/>
        <v>9</v>
      </c>
    </row>
    <row r="452" spans="1:10" x14ac:dyDescent="0.35">
      <c r="A452" s="11">
        <v>45929</v>
      </c>
      <c r="B452" s="11">
        <v>45929</v>
      </c>
      <c r="C452" t="s">
        <v>696</v>
      </c>
      <c r="D452" t="s">
        <v>697</v>
      </c>
      <c r="E452" s="8"/>
      <c r="F452" s="9">
        <v>1816262.54</v>
      </c>
      <c r="G452" s="8">
        <f t="shared" si="12"/>
        <v>39583934.570000008</v>
      </c>
      <c r="I452" s="10" t="s">
        <v>27</v>
      </c>
      <c r="J452" s="10">
        <f t="shared" si="13"/>
        <v>9</v>
      </c>
    </row>
    <row r="453" spans="1:10" x14ac:dyDescent="0.35">
      <c r="A453" s="11">
        <v>45929</v>
      </c>
      <c r="B453" s="11">
        <v>45929</v>
      </c>
      <c r="C453" t="s">
        <v>698</v>
      </c>
      <c r="D453" t="s">
        <v>17</v>
      </c>
      <c r="E453" s="9">
        <v>50</v>
      </c>
      <c r="F453" s="8"/>
      <c r="G453" s="8">
        <f t="shared" si="12"/>
        <v>39583884.570000008</v>
      </c>
      <c r="I453" s="10" t="s">
        <v>18</v>
      </c>
      <c r="J453" s="10">
        <f t="shared" si="13"/>
        <v>9</v>
      </c>
    </row>
    <row r="454" spans="1:10" x14ac:dyDescent="0.35">
      <c r="A454" s="11">
        <v>45929</v>
      </c>
      <c r="B454" s="11">
        <v>45929</v>
      </c>
      <c r="C454" t="s">
        <v>699</v>
      </c>
      <c r="D454" t="s">
        <v>106</v>
      </c>
      <c r="E454" s="9">
        <v>4520000</v>
      </c>
      <c r="F454" s="8"/>
      <c r="G454" s="8">
        <f t="shared" ref="G454:G517" si="14">G453+F454-E454</f>
        <v>35063884.570000008</v>
      </c>
      <c r="I454" s="10" t="s">
        <v>107</v>
      </c>
      <c r="J454" s="10">
        <f t="shared" ref="J454:J517" si="15">MONTH(A454)</f>
        <v>9</v>
      </c>
    </row>
    <row r="455" spans="1:10" x14ac:dyDescent="0.35">
      <c r="A455" s="11">
        <v>45930</v>
      </c>
      <c r="B455" s="11">
        <v>45930</v>
      </c>
      <c r="C455" t="s">
        <v>700</v>
      </c>
      <c r="D455" t="s">
        <v>155</v>
      </c>
      <c r="E455" s="9">
        <v>4000000</v>
      </c>
      <c r="F455" s="8"/>
      <c r="G455" s="8">
        <f t="shared" si="14"/>
        <v>31063884.570000008</v>
      </c>
      <c r="I455" s="10" t="s">
        <v>156</v>
      </c>
      <c r="J455" s="10">
        <f t="shared" si="15"/>
        <v>9</v>
      </c>
    </row>
    <row r="456" spans="1:10" x14ac:dyDescent="0.35">
      <c r="A456" s="11">
        <v>45930</v>
      </c>
      <c r="B456" s="11">
        <v>45930</v>
      </c>
      <c r="C456" t="s">
        <v>701</v>
      </c>
      <c r="D456" t="s">
        <v>266</v>
      </c>
      <c r="E456" s="8"/>
      <c r="F456" s="9">
        <v>9513.67</v>
      </c>
      <c r="G456" s="8">
        <f t="shared" si="14"/>
        <v>31073398.24000001</v>
      </c>
      <c r="I456" s="10" t="s">
        <v>267</v>
      </c>
      <c r="J456" s="10">
        <f t="shared" si="15"/>
        <v>9</v>
      </c>
    </row>
    <row r="457" spans="1:10" x14ac:dyDescent="0.35">
      <c r="A457" s="11">
        <v>45930</v>
      </c>
      <c r="B457" s="11">
        <v>45930</v>
      </c>
      <c r="C457" t="s">
        <v>702</v>
      </c>
      <c r="D457" t="s">
        <v>113</v>
      </c>
      <c r="E457" s="9">
        <v>9014.16</v>
      </c>
      <c r="F457" s="8"/>
      <c r="G457" s="8">
        <f t="shared" si="14"/>
        <v>31064384.080000009</v>
      </c>
      <c r="I457" s="10" t="s">
        <v>114</v>
      </c>
      <c r="J457" s="10">
        <f t="shared" si="15"/>
        <v>9</v>
      </c>
    </row>
    <row r="458" spans="1:10" x14ac:dyDescent="0.35">
      <c r="A458" s="11">
        <v>45930</v>
      </c>
      <c r="B458" s="11">
        <v>45930</v>
      </c>
      <c r="C458" t="s">
        <v>703</v>
      </c>
      <c r="D458" t="s">
        <v>116</v>
      </c>
      <c r="E458" s="9">
        <v>1650</v>
      </c>
      <c r="F458" s="8"/>
      <c r="G458" s="8">
        <f t="shared" si="14"/>
        <v>31062734.080000009</v>
      </c>
      <c r="I458" s="10" t="s">
        <v>117</v>
      </c>
      <c r="J458" s="10">
        <f t="shared" si="15"/>
        <v>9</v>
      </c>
    </row>
    <row r="459" spans="1:10" x14ac:dyDescent="0.35">
      <c r="A459" s="11">
        <v>45930</v>
      </c>
      <c r="B459" s="11">
        <v>45930</v>
      </c>
      <c r="C459" t="s">
        <v>704</v>
      </c>
      <c r="D459" t="s">
        <v>119</v>
      </c>
      <c r="E459" s="9">
        <v>132</v>
      </c>
      <c r="F459" s="8"/>
      <c r="G459" s="8">
        <f t="shared" si="14"/>
        <v>31062602.080000009</v>
      </c>
      <c r="I459" s="10" t="s">
        <v>120</v>
      </c>
      <c r="J459" s="10">
        <f t="shared" si="15"/>
        <v>9</v>
      </c>
    </row>
    <row r="460" spans="1:10" x14ac:dyDescent="0.35">
      <c r="A460" s="11">
        <v>45930</v>
      </c>
      <c r="B460" s="11">
        <v>45930</v>
      </c>
      <c r="C460" t="s">
        <v>705</v>
      </c>
      <c r="D460" t="s">
        <v>122</v>
      </c>
      <c r="E460" s="9">
        <v>133.65</v>
      </c>
      <c r="F460" s="8"/>
      <c r="G460" s="8">
        <f t="shared" si="14"/>
        <v>31062468.430000011</v>
      </c>
      <c r="I460" s="10" t="s">
        <v>123</v>
      </c>
      <c r="J460" s="10">
        <f t="shared" si="15"/>
        <v>9</v>
      </c>
    </row>
    <row r="461" spans="1:10" x14ac:dyDescent="0.35">
      <c r="A461" s="11">
        <v>45933</v>
      </c>
      <c r="B461" s="11">
        <v>45933</v>
      </c>
      <c r="C461" t="s">
        <v>706</v>
      </c>
      <c r="D461" t="s">
        <v>20</v>
      </c>
      <c r="E461" s="9">
        <v>162800</v>
      </c>
      <c r="F461" s="8"/>
      <c r="G461" s="8">
        <f t="shared" si="14"/>
        <v>30899668.430000011</v>
      </c>
      <c r="I461" s="10" t="s">
        <v>21</v>
      </c>
      <c r="J461" s="10">
        <f t="shared" si="15"/>
        <v>10</v>
      </c>
    </row>
    <row r="462" spans="1:10" x14ac:dyDescent="0.35">
      <c r="A462" s="11">
        <v>45933</v>
      </c>
      <c r="B462" s="11">
        <v>45933</v>
      </c>
      <c r="C462" t="s">
        <v>707</v>
      </c>
      <c r="D462" t="s">
        <v>708</v>
      </c>
      <c r="E462" s="9">
        <v>1891191.93</v>
      </c>
      <c r="F462" s="8"/>
      <c r="G462" s="8">
        <f t="shared" si="14"/>
        <v>29008476.500000011</v>
      </c>
      <c r="I462" s="10" t="s">
        <v>282</v>
      </c>
      <c r="J462" s="10">
        <f t="shared" si="15"/>
        <v>10</v>
      </c>
    </row>
    <row r="463" spans="1:10" x14ac:dyDescent="0.35">
      <c r="A463" s="11">
        <v>45936</v>
      </c>
      <c r="B463" s="11">
        <v>45936</v>
      </c>
      <c r="C463" t="s">
        <v>709</v>
      </c>
      <c r="D463" t="s">
        <v>710</v>
      </c>
      <c r="E463" s="8"/>
      <c r="F463" s="9">
        <v>4260424.42</v>
      </c>
      <c r="G463" s="8">
        <f t="shared" si="14"/>
        <v>33268900.920000009</v>
      </c>
      <c r="I463" s="10" t="s">
        <v>40</v>
      </c>
      <c r="J463" s="10">
        <f t="shared" si="15"/>
        <v>10</v>
      </c>
    </row>
    <row r="464" spans="1:10" x14ac:dyDescent="0.35">
      <c r="A464" s="11">
        <v>45936</v>
      </c>
      <c r="B464" s="11">
        <v>45936</v>
      </c>
      <c r="C464" t="s">
        <v>711</v>
      </c>
      <c r="D464" t="s">
        <v>17</v>
      </c>
      <c r="E464" s="9">
        <v>50</v>
      </c>
      <c r="F464" s="8"/>
      <c r="G464" s="8">
        <f t="shared" si="14"/>
        <v>33268850.920000009</v>
      </c>
      <c r="I464" s="10" t="s">
        <v>18</v>
      </c>
      <c r="J464" s="10">
        <f t="shared" si="15"/>
        <v>10</v>
      </c>
    </row>
    <row r="465" spans="1:10" x14ac:dyDescent="0.35">
      <c r="A465" s="11">
        <v>45936</v>
      </c>
      <c r="B465" s="11">
        <v>45936</v>
      </c>
      <c r="C465" t="s">
        <v>712</v>
      </c>
      <c r="D465" t="s">
        <v>713</v>
      </c>
      <c r="E465" s="8"/>
      <c r="F465" s="9">
        <v>1676199.39</v>
      </c>
      <c r="G465" s="8">
        <f t="shared" si="14"/>
        <v>34945050.31000001</v>
      </c>
      <c r="I465" s="10" t="s">
        <v>27</v>
      </c>
      <c r="J465" s="10">
        <f t="shared" si="15"/>
        <v>10</v>
      </c>
    </row>
    <row r="466" spans="1:10" x14ac:dyDescent="0.35">
      <c r="A466" s="11">
        <v>45936</v>
      </c>
      <c r="B466" s="11">
        <v>45936</v>
      </c>
      <c r="C466" t="s">
        <v>714</v>
      </c>
      <c r="D466" t="s">
        <v>17</v>
      </c>
      <c r="E466" s="9">
        <v>50</v>
      </c>
      <c r="F466" s="8"/>
      <c r="G466" s="8">
        <f t="shared" si="14"/>
        <v>34945000.31000001</v>
      </c>
      <c r="I466" s="10" t="s">
        <v>18</v>
      </c>
      <c r="J466" s="10">
        <f t="shared" si="15"/>
        <v>10</v>
      </c>
    </row>
    <row r="467" spans="1:10" x14ac:dyDescent="0.35">
      <c r="A467" s="11">
        <v>45936</v>
      </c>
      <c r="B467" s="11">
        <v>45936</v>
      </c>
      <c r="C467" t="s">
        <v>715</v>
      </c>
      <c r="D467" t="s">
        <v>716</v>
      </c>
      <c r="E467" s="9">
        <v>2524500</v>
      </c>
      <c r="F467" s="8"/>
      <c r="G467" s="8">
        <f t="shared" si="14"/>
        <v>32420500.31000001</v>
      </c>
      <c r="I467" s="10" t="s">
        <v>37</v>
      </c>
      <c r="J467" s="10">
        <f t="shared" si="15"/>
        <v>10</v>
      </c>
    </row>
    <row r="468" spans="1:10" x14ac:dyDescent="0.35">
      <c r="A468" s="11">
        <v>45936</v>
      </c>
      <c r="B468" s="11">
        <v>45936</v>
      </c>
      <c r="C468" t="s">
        <v>717</v>
      </c>
      <c r="D468" t="s">
        <v>30</v>
      </c>
      <c r="E468" s="9">
        <v>425000</v>
      </c>
      <c r="F468" s="8"/>
      <c r="G468" s="8">
        <f t="shared" si="14"/>
        <v>31995500.31000001</v>
      </c>
      <c r="I468" s="10" t="s">
        <v>31</v>
      </c>
      <c r="J468" s="10">
        <f t="shared" si="15"/>
        <v>10</v>
      </c>
    </row>
    <row r="469" spans="1:10" x14ac:dyDescent="0.35">
      <c r="A469" s="11">
        <v>45937</v>
      </c>
      <c r="B469" s="11">
        <v>45937</v>
      </c>
      <c r="C469" t="s">
        <v>718</v>
      </c>
      <c r="D469" t="s">
        <v>719</v>
      </c>
      <c r="E469" s="8"/>
      <c r="F469" s="9">
        <v>3416348.84</v>
      </c>
      <c r="G469" s="8">
        <f t="shared" si="14"/>
        <v>35411849.150000006</v>
      </c>
      <c r="I469" s="10" t="s">
        <v>40</v>
      </c>
      <c r="J469" s="10">
        <f t="shared" si="15"/>
        <v>10</v>
      </c>
    </row>
    <row r="470" spans="1:10" x14ac:dyDescent="0.35">
      <c r="A470" s="11">
        <v>45937</v>
      </c>
      <c r="B470" s="11">
        <v>45937</v>
      </c>
      <c r="C470" t="s">
        <v>720</v>
      </c>
      <c r="D470" t="s">
        <v>17</v>
      </c>
      <c r="E470" s="9">
        <v>50</v>
      </c>
      <c r="F470" s="8"/>
      <c r="G470" s="8">
        <f t="shared" si="14"/>
        <v>35411799.150000006</v>
      </c>
      <c r="I470" s="10" t="s">
        <v>18</v>
      </c>
      <c r="J470" s="10">
        <f t="shared" si="15"/>
        <v>10</v>
      </c>
    </row>
    <row r="471" spans="1:10" x14ac:dyDescent="0.35">
      <c r="A471" s="11">
        <v>45937</v>
      </c>
      <c r="B471" s="11">
        <v>45937</v>
      </c>
      <c r="C471" t="s">
        <v>721</v>
      </c>
      <c r="D471" t="s">
        <v>722</v>
      </c>
      <c r="E471" s="8"/>
      <c r="F471" s="9">
        <v>1428375</v>
      </c>
      <c r="G471" s="8">
        <f t="shared" si="14"/>
        <v>36840174.150000006</v>
      </c>
      <c r="I471" s="10" t="s">
        <v>15</v>
      </c>
      <c r="J471" s="10">
        <f t="shared" si="15"/>
        <v>10</v>
      </c>
    </row>
    <row r="472" spans="1:10" x14ac:dyDescent="0.35">
      <c r="A472" s="11">
        <v>45937</v>
      </c>
      <c r="B472" s="11">
        <v>45937</v>
      </c>
      <c r="C472" t="s">
        <v>723</v>
      </c>
      <c r="D472" t="s">
        <v>17</v>
      </c>
      <c r="E472" s="9">
        <v>50</v>
      </c>
      <c r="F472" s="8"/>
      <c r="G472" s="8">
        <f t="shared" si="14"/>
        <v>36840124.150000006</v>
      </c>
      <c r="I472" s="10" t="s">
        <v>18</v>
      </c>
      <c r="J472" s="10">
        <f t="shared" si="15"/>
        <v>10</v>
      </c>
    </row>
    <row r="473" spans="1:10" x14ac:dyDescent="0.35">
      <c r="A473" s="11">
        <v>45939</v>
      </c>
      <c r="B473" s="11">
        <v>45939</v>
      </c>
      <c r="C473" t="s">
        <v>724</v>
      </c>
      <c r="D473" t="s">
        <v>725</v>
      </c>
      <c r="E473" s="9">
        <v>86500</v>
      </c>
      <c r="F473" s="8"/>
      <c r="G473" s="8">
        <f t="shared" si="14"/>
        <v>36753624.150000006</v>
      </c>
      <c r="I473" s="10" t="s">
        <v>447</v>
      </c>
      <c r="J473" s="10">
        <f t="shared" si="15"/>
        <v>10</v>
      </c>
    </row>
    <row r="474" spans="1:10" x14ac:dyDescent="0.35">
      <c r="A474" s="11">
        <v>45940</v>
      </c>
      <c r="B474" s="11">
        <v>45940</v>
      </c>
      <c r="C474" t="s">
        <v>726</v>
      </c>
      <c r="D474" t="s">
        <v>45</v>
      </c>
      <c r="E474" s="9">
        <v>585000</v>
      </c>
      <c r="F474" s="8"/>
      <c r="G474" s="8">
        <f t="shared" si="14"/>
        <v>36168624.150000006</v>
      </c>
      <c r="I474" s="10" t="s">
        <v>46</v>
      </c>
      <c r="J474" s="10">
        <f t="shared" si="15"/>
        <v>10</v>
      </c>
    </row>
    <row r="475" spans="1:10" x14ac:dyDescent="0.35">
      <c r="A475" s="11">
        <v>45940</v>
      </c>
      <c r="B475" s="11">
        <v>45940</v>
      </c>
      <c r="C475" t="s">
        <v>727</v>
      </c>
      <c r="D475" t="s">
        <v>48</v>
      </c>
      <c r="E475" s="9">
        <v>740000</v>
      </c>
      <c r="F475" s="8"/>
      <c r="G475" s="8">
        <f t="shared" si="14"/>
        <v>35428624.150000006</v>
      </c>
      <c r="I475" s="10" t="s">
        <v>49</v>
      </c>
      <c r="J475" s="10">
        <f t="shared" si="15"/>
        <v>10</v>
      </c>
    </row>
    <row r="476" spans="1:10" x14ac:dyDescent="0.35">
      <c r="A476" s="11">
        <v>45943</v>
      </c>
      <c r="B476" s="11">
        <v>45943</v>
      </c>
      <c r="C476" t="s">
        <v>728</v>
      </c>
      <c r="D476" t="s">
        <v>729</v>
      </c>
      <c r="E476" s="8"/>
      <c r="F476" s="9">
        <v>2058756.83</v>
      </c>
      <c r="G476" s="8">
        <f t="shared" si="14"/>
        <v>37487380.980000004</v>
      </c>
      <c r="I476" s="10" t="s">
        <v>27</v>
      </c>
      <c r="J476" s="10">
        <f t="shared" si="15"/>
        <v>10</v>
      </c>
    </row>
    <row r="477" spans="1:10" x14ac:dyDescent="0.35">
      <c r="A477" s="11">
        <v>45943</v>
      </c>
      <c r="B477" s="11">
        <v>45943</v>
      </c>
      <c r="C477" t="s">
        <v>730</v>
      </c>
      <c r="D477" t="s">
        <v>17</v>
      </c>
      <c r="E477" s="9">
        <v>50</v>
      </c>
      <c r="F477" s="8"/>
      <c r="G477" s="8">
        <f t="shared" si="14"/>
        <v>37487330.980000004</v>
      </c>
      <c r="I477" s="10" t="s">
        <v>18</v>
      </c>
      <c r="J477" s="10">
        <f t="shared" si="15"/>
        <v>10</v>
      </c>
    </row>
    <row r="478" spans="1:10" x14ac:dyDescent="0.35">
      <c r="A478" s="11">
        <v>45943</v>
      </c>
      <c r="B478" s="11">
        <v>45943</v>
      </c>
      <c r="C478" t="s">
        <v>731</v>
      </c>
      <c r="D478" t="s">
        <v>65</v>
      </c>
      <c r="E478" s="9">
        <v>1060000</v>
      </c>
      <c r="F478" s="8"/>
      <c r="G478" s="8">
        <f t="shared" si="14"/>
        <v>36427330.980000004</v>
      </c>
      <c r="I478" s="10" t="s">
        <v>31</v>
      </c>
      <c r="J478" s="10">
        <f t="shared" si="15"/>
        <v>10</v>
      </c>
    </row>
    <row r="479" spans="1:10" x14ac:dyDescent="0.35">
      <c r="A479" s="11">
        <v>45945</v>
      </c>
      <c r="B479" s="11">
        <v>45945</v>
      </c>
      <c r="C479" t="s">
        <v>732</v>
      </c>
      <c r="D479" t="s">
        <v>70</v>
      </c>
      <c r="E479" s="9">
        <v>67500</v>
      </c>
      <c r="F479" s="8"/>
      <c r="G479" s="8">
        <f t="shared" si="14"/>
        <v>36359830.980000004</v>
      </c>
      <c r="I479" s="10" t="s">
        <v>71</v>
      </c>
      <c r="J479" s="10">
        <f t="shared" si="15"/>
        <v>10</v>
      </c>
    </row>
    <row r="480" spans="1:10" x14ac:dyDescent="0.35">
      <c r="A480" s="11">
        <v>45945</v>
      </c>
      <c r="B480" s="11">
        <v>45945</v>
      </c>
      <c r="C480" t="s">
        <v>733</v>
      </c>
      <c r="D480" t="s">
        <v>734</v>
      </c>
      <c r="E480" s="8"/>
      <c r="F480" s="9">
        <v>2000000</v>
      </c>
      <c r="G480" s="8">
        <f t="shared" si="14"/>
        <v>38359830.980000004</v>
      </c>
      <c r="I480" s="10" t="s">
        <v>735</v>
      </c>
      <c r="J480" s="10">
        <f t="shared" si="15"/>
        <v>10</v>
      </c>
    </row>
    <row r="481" spans="1:10" x14ac:dyDescent="0.35">
      <c r="A481" s="11">
        <v>45945</v>
      </c>
      <c r="B481" s="11">
        <v>45945</v>
      </c>
      <c r="C481" t="s">
        <v>736</v>
      </c>
      <c r="D481" t="s">
        <v>17</v>
      </c>
      <c r="E481" s="9">
        <v>50</v>
      </c>
      <c r="F481" s="8"/>
      <c r="G481" s="8">
        <f t="shared" si="14"/>
        <v>38359780.980000004</v>
      </c>
      <c r="I481" s="10" t="s">
        <v>18</v>
      </c>
      <c r="J481" s="10">
        <f t="shared" si="15"/>
        <v>10</v>
      </c>
    </row>
    <row r="482" spans="1:10" x14ac:dyDescent="0.35">
      <c r="A482" s="11">
        <v>45946</v>
      </c>
      <c r="B482" s="11">
        <v>45946</v>
      </c>
      <c r="C482" t="s">
        <v>737</v>
      </c>
      <c r="D482" t="s">
        <v>738</v>
      </c>
      <c r="E482" s="8"/>
      <c r="F482" s="9">
        <v>1428375</v>
      </c>
      <c r="G482" s="8">
        <f t="shared" si="14"/>
        <v>39788155.980000004</v>
      </c>
      <c r="I482" s="10" t="s">
        <v>15</v>
      </c>
      <c r="J482" s="10">
        <f t="shared" si="15"/>
        <v>10</v>
      </c>
    </row>
    <row r="483" spans="1:10" x14ac:dyDescent="0.35">
      <c r="A483" s="11">
        <v>45946</v>
      </c>
      <c r="B483" s="11">
        <v>45946</v>
      </c>
      <c r="C483" t="s">
        <v>739</v>
      </c>
      <c r="D483" t="s">
        <v>17</v>
      </c>
      <c r="E483" s="9">
        <v>50</v>
      </c>
      <c r="F483" s="8"/>
      <c r="G483" s="8">
        <f t="shared" si="14"/>
        <v>39788105.980000004</v>
      </c>
      <c r="I483" s="10" t="s">
        <v>18</v>
      </c>
      <c r="J483" s="10">
        <f t="shared" si="15"/>
        <v>10</v>
      </c>
    </row>
    <row r="484" spans="1:10" x14ac:dyDescent="0.35">
      <c r="A484" s="11">
        <v>45946</v>
      </c>
      <c r="B484" s="11">
        <v>45946</v>
      </c>
      <c r="C484" t="s">
        <v>740</v>
      </c>
      <c r="D484" t="s">
        <v>741</v>
      </c>
      <c r="E484" s="8"/>
      <c r="F484" s="9">
        <v>3349750</v>
      </c>
      <c r="G484" s="8">
        <f t="shared" si="14"/>
        <v>43137855.980000004</v>
      </c>
      <c r="I484" s="10" t="s">
        <v>15</v>
      </c>
      <c r="J484" s="10">
        <f t="shared" si="15"/>
        <v>10</v>
      </c>
    </row>
    <row r="485" spans="1:10" x14ac:dyDescent="0.35">
      <c r="A485" s="11">
        <v>45946</v>
      </c>
      <c r="B485" s="11">
        <v>45946</v>
      </c>
      <c r="C485" t="s">
        <v>742</v>
      </c>
      <c r="D485" t="s">
        <v>17</v>
      </c>
      <c r="E485" s="9">
        <v>50</v>
      </c>
      <c r="F485" s="8"/>
      <c r="G485" s="8">
        <f t="shared" si="14"/>
        <v>43137805.980000004</v>
      </c>
      <c r="I485" s="10" t="s">
        <v>18</v>
      </c>
      <c r="J485" s="10">
        <f t="shared" si="15"/>
        <v>10</v>
      </c>
    </row>
    <row r="486" spans="1:10" x14ac:dyDescent="0.35">
      <c r="A486" s="11">
        <v>45947</v>
      </c>
      <c r="B486" s="11">
        <v>45947</v>
      </c>
      <c r="C486" t="s">
        <v>743</v>
      </c>
      <c r="D486" t="s">
        <v>76</v>
      </c>
      <c r="E486" s="9">
        <v>1155000</v>
      </c>
      <c r="F486" s="8"/>
      <c r="G486" s="8">
        <f t="shared" si="14"/>
        <v>41982805.980000004</v>
      </c>
      <c r="I486" s="10" t="s">
        <v>77</v>
      </c>
      <c r="J486" s="10">
        <f t="shared" si="15"/>
        <v>10</v>
      </c>
    </row>
    <row r="487" spans="1:10" x14ac:dyDescent="0.35">
      <c r="A487" s="11">
        <v>45950</v>
      </c>
      <c r="B487" s="11">
        <v>45950</v>
      </c>
      <c r="C487" t="s">
        <v>744</v>
      </c>
      <c r="D487" t="s">
        <v>745</v>
      </c>
      <c r="E487" s="8"/>
      <c r="F487" s="9">
        <v>1351643.03</v>
      </c>
      <c r="G487" s="8">
        <f t="shared" si="14"/>
        <v>43334449.010000005</v>
      </c>
      <c r="I487" s="10" t="s">
        <v>27</v>
      </c>
      <c r="J487" s="10">
        <f t="shared" si="15"/>
        <v>10</v>
      </c>
    </row>
    <row r="488" spans="1:10" x14ac:dyDescent="0.35">
      <c r="A488" s="11">
        <v>45950</v>
      </c>
      <c r="B488" s="11">
        <v>45950</v>
      </c>
      <c r="C488" t="s">
        <v>746</v>
      </c>
      <c r="D488" t="s">
        <v>17</v>
      </c>
      <c r="E488" s="9">
        <v>50</v>
      </c>
      <c r="F488" s="8"/>
      <c r="G488" s="8">
        <f t="shared" si="14"/>
        <v>43334399.010000005</v>
      </c>
      <c r="I488" s="10" t="s">
        <v>18</v>
      </c>
      <c r="J488" s="10">
        <f t="shared" si="15"/>
        <v>10</v>
      </c>
    </row>
    <row r="489" spans="1:10" x14ac:dyDescent="0.35">
      <c r="A489" s="11">
        <v>45950</v>
      </c>
      <c r="B489" s="11">
        <v>45950</v>
      </c>
      <c r="C489" t="s">
        <v>747</v>
      </c>
      <c r="D489" t="s">
        <v>748</v>
      </c>
      <c r="E489" s="9">
        <v>3880500</v>
      </c>
      <c r="F489" s="8"/>
      <c r="G489" s="8">
        <f t="shared" si="14"/>
        <v>39453899.010000005</v>
      </c>
      <c r="I489" s="10" t="s">
        <v>37</v>
      </c>
      <c r="J489" s="10">
        <f t="shared" si="15"/>
        <v>10</v>
      </c>
    </row>
    <row r="490" spans="1:10" x14ac:dyDescent="0.35">
      <c r="A490" s="11">
        <v>45950</v>
      </c>
      <c r="B490" s="11">
        <v>45950</v>
      </c>
      <c r="C490" t="s">
        <v>749</v>
      </c>
      <c r="D490" t="s">
        <v>62</v>
      </c>
      <c r="E490" s="9">
        <v>962000</v>
      </c>
      <c r="F490" s="8"/>
      <c r="G490" s="8">
        <f t="shared" si="14"/>
        <v>38491899.010000005</v>
      </c>
      <c r="I490" s="10" t="s">
        <v>63</v>
      </c>
      <c r="J490" s="10">
        <f t="shared" si="15"/>
        <v>10</v>
      </c>
    </row>
    <row r="491" spans="1:10" x14ac:dyDescent="0.35">
      <c r="A491" s="11">
        <v>45951</v>
      </c>
      <c r="B491" s="11">
        <v>45951</v>
      </c>
      <c r="C491" t="s">
        <v>750</v>
      </c>
      <c r="D491" t="s">
        <v>751</v>
      </c>
      <c r="E491" s="8"/>
      <c r="F491" s="9">
        <v>3002250</v>
      </c>
      <c r="G491" s="8">
        <f t="shared" si="14"/>
        <v>41494149.010000005</v>
      </c>
      <c r="I491" s="10" t="s">
        <v>15</v>
      </c>
      <c r="J491" s="10">
        <f t="shared" si="15"/>
        <v>10</v>
      </c>
    </row>
    <row r="492" spans="1:10" x14ac:dyDescent="0.35">
      <c r="A492" s="11">
        <v>45951</v>
      </c>
      <c r="B492" s="11">
        <v>45951</v>
      </c>
      <c r="C492" t="s">
        <v>752</v>
      </c>
      <c r="D492" t="s">
        <v>17</v>
      </c>
      <c r="E492" s="9">
        <v>50</v>
      </c>
      <c r="F492" s="8"/>
      <c r="G492" s="8">
        <f t="shared" si="14"/>
        <v>41494099.010000005</v>
      </c>
      <c r="I492" s="10" t="s">
        <v>18</v>
      </c>
      <c r="J492" s="10">
        <f t="shared" si="15"/>
        <v>10</v>
      </c>
    </row>
    <row r="493" spans="1:10" x14ac:dyDescent="0.35">
      <c r="A493" s="11">
        <v>45951</v>
      </c>
      <c r="B493" s="11">
        <v>45951</v>
      </c>
      <c r="C493" t="s">
        <v>753</v>
      </c>
      <c r="D493" t="s">
        <v>85</v>
      </c>
      <c r="E493" s="9">
        <v>1720800</v>
      </c>
      <c r="F493" s="8"/>
      <c r="G493" s="8">
        <f t="shared" si="14"/>
        <v>39773299.010000005</v>
      </c>
      <c r="I493" s="10" t="s">
        <v>86</v>
      </c>
      <c r="J493" s="10">
        <f t="shared" si="15"/>
        <v>10</v>
      </c>
    </row>
    <row r="494" spans="1:10" x14ac:dyDescent="0.35">
      <c r="A494" s="11">
        <v>45952</v>
      </c>
      <c r="B494" s="11">
        <v>45952</v>
      </c>
      <c r="C494" t="s">
        <v>754</v>
      </c>
      <c r="D494" t="s">
        <v>755</v>
      </c>
      <c r="E494" s="8"/>
      <c r="F494" s="9">
        <v>3582750</v>
      </c>
      <c r="G494" s="8">
        <f t="shared" si="14"/>
        <v>43356049.010000005</v>
      </c>
      <c r="I494" s="10" t="s">
        <v>15</v>
      </c>
      <c r="J494" s="10">
        <f t="shared" si="15"/>
        <v>10</v>
      </c>
    </row>
    <row r="495" spans="1:10" x14ac:dyDescent="0.35">
      <c r="A495" s="11">
        <v>45952</v>
      </c>
      <c r="B495" s="11">
        <v>45952</v>
      </c>
      <c r="C495" t="s">
        <v>756</v>
      </c>
      <c r="D495" t="s">
        <v>17</v>
      </c>
      <c r="E495" s="9">
        <v>50</v>
      </c>
      <c r="F495" s="8"/>
      <c r="G495" s="8">
        <f t="shared" si="14"/>
        <v>43355999.010000005</v>
      </c>
      <c r="I495" s="10" t="s">
        <v>18</v>
      </c>
      <c r="J495" s="10">
        <f t="shared" si="15"/>
        <v>10</v>
      </c>
    </row>
    <row r="496" spans="1:10" x14ac:dyDescent="0.35">
      <c r="A496" s="11">
        <v>45954</v>
      </c>
      <c r="B496" s="11">
        <v>45954</v>
      </c>
      <c r="C496" t="s">
        <v>757</v>
      </c>
      <c r="D496" t="s">
        <v>758</v>
      </c>
      <c r="E496" s="8"/>
      <c r="F496" s="9">
        <v>2795389.53</v>
      </c>
      <c r="G496" s="8">
        <f t="shared" si="14"/>
        <v>46151388.540000007</v>
      </c>
      <c r="I496" s="10" t="s">
        <v>40</v>
      </c>
      <c r="J496" s="10">
        <f t="shared" si="15"/>
        <v>10</v>
      </c>
    </row>
    <row r="497" spans="1:10" x14ac:dyDescent="0.35">
      <c r="A497" s="11">
        <v>45954</v>
      </c>
      <c r="B497" s="11">
        <v>45954</v>
      </c>
      <c r="C497" t="s">
        <v>759</v>
      </c>
      <c r="D497" t="s">
        <v>17</v>
      </c>
      <c r="E497" s="9">
        <v>50</v>
      </c>
      <c r="F497" s="8"/>
      <c r="G497" s="8">
        <f t="shared" si="14"/>
        <v>46151338.540000007</v>
      </c>
      <c r="I497" s="10" t="s">
        <v>18</v>
      </c>
      <c r="J497" s="10">
        <f t="shared" si="15"/>
        <v>10</v>
      </c>
    </row>
    <row r="498" spans="1:10" x14ac:dyDescent="0.35">
      <c r="A498" s="11">
        <v>45954</v>
      </c>
      <c r="B498" s="11">
        <v>45954</v>
      </c>
      <c r="C498" t="s">
        <v>760</v>
      </c>
      <c r="D498" t="s">
        <v>761</v>
      </c>
      <c r="E498" s="9">
        <v>2617000</v>
      </c>
      <c r="F498" s="8"/>
      <c r="G498" s="8">
        <f t="shared" si="14"/>
        <v>43534338.540000007</v>
      </c>
      <c r="I498" s="10" t="s">
        <v>37</v>
      </c>
      <c r="J498" s="10">
        <f t="shared" si="15"/>
        <v>10</v>
      </c>
    </row>
    <row r="499" spans="1:10" x14ac:dyDescent="0.35">
      <c r="A499" s="11">
        <v>45954</v>
      </c>
      <c r="B499" s="11">
        <v>45954</v>
      </c>
      <c r="C499" t="s">
        <v>762</v>
      </c>
      <c r="D499" t="s">
        <v>62</v>
      </c>
      <c r="E499" s="9">
        <v>980000</v>
      </c>
      <c r="F499" s="8"/>
      <c r="G499" s="8">
        <f t="shared" si="14"/>
        <v>42554338.540000007</v>
      </c>
      <c r="I499" s="10" t="s">
        <v>63</v>
      </c>
      <c r="J499" s="10">
        <f t="shared" si="15"/>
        <v>10</v>
      </c>
    </row>
    <row r="500" spans="1:10" x14ac:dyDescent="0.35">
      <c r="A500" s="11">
        <v>45957</v>
      </c>
      <c r="B500" s="11">
        <v>45957</v>
      </c>
      <c r="C500" t="s">
        <v>763</v>
      </c>
      <c r="D500" t="s">
        <v>764</v>
      </c>
      <c r="E500" s="8"/>
      <c r="F500" s="9">
        <v>4604872.09</v>
      </c>
      <c r="G500" s="8">
        <f t="shared" si="14"/>
        <v>47159210.63000001</v>
      </c>
      <c r="I500" s="10" t="s">
        <v>40</v>
      </c>
      <c r="J500" s="10">
        <f t="shared" si="15"/>
        <v>10</v>
      </c>
    </row>
    <row r="501" spans="1:10" x14ac:dyDescent="0.35">
      <c r="A501" s="11">
        <v>45957</v>
      </c>
      <c r="B501" s="11">
        <v>45957</v>
      </c>
      <c r="C501" t="s">
        <v>765</v>
      </c>
      <c r="D501" t="s">
        <v>17</v>
      </c>
      <c r="E501" s="9">
        <v>50</v>
      </c>
      <c r="F501" s="8"/>
      <c r="G501" s="8">
        <f t="shared" si="14"/>
        <v>47159160.63000001</v>
      </c>
      <c r="I501" s="10" t="s">
        <v>18</v>
      </c>
      <c r="J501" s="10">
        <f t="shared" si="15"/>
        <v>10</v>
      </c>
    </row>
    <row r="502" spans="1:10" x14ac:dyDescent="0.35">
      <c r="A502" s="11">
        <v>45957</v>
      </c>
      <c r="B502" s="11">
        <v>45957</v>
      </c>
      <c r="C502" t="s">
        <v>766</v>
      </c>
      <c r="D502" t="s">
        <v>767</v>
      </c>
      <c r="E502" s="8"/>
      <c r="F502" s="9">
        <v>1630169.74</v>
      </c>
      <c r="G502" s="8">
        <f t="shared" si="14"/>
        <v>48789330.370000012</v>
      </c>
      <c r="I502" s="10" t="s">
        <v>27</v>
      </c>
      <c r="J502" s="10">
        <f t="shared" si="15"/>
        <v>10</v>
      </c>
    </row>
    <row r="503" spans="1:10" x14ac:dyDescent="0.35">
      <c r="A503" s="11">
        <v>45957</v>
      </c>
      <c r="B503" s="11">
        <v>45957</v>
      </c>
      <c r="C503" t="s">
        <v>768</v>
      </c>
      <c r="D503" t="s">
        <v>17</v>
      </c>
      <c r="E503" s="9">
        <v>50</v>
      </c>
      <c r="F503" s="8"/>
      <c r="G503" s="8">
        <f t="shared" si="14"/>
        <v>48789280.370000012</v>
      </c>
      <c r="I503" s="10" t="s">
        <v>18</v>
      </c>
      <c r="J503" s="10">
        <f t="shared" si="15"/>
        <v>10</v>
      </c>
    </row>
    <row r="504" spans="1:10" x14ac:dyDescent="0.35">
      <c r="A504" s="11">
        <v>45957</v>
      </c>
      <c r="B504" s="11">
        <v>45957</v>
      </c>
      <c r="C504" t="s">
        <v>769</v>
      </c>
      <c r="D504" t="s">
        <v>100</v>
      </c>
      <c r="E504" s="9">
        <v>142000</v>
      </c>
      <c r="F504" s="8"/>
      <c r="G504" s="8">
        <f t="shared" si="14"/>
        <v>48647280.370000012</v>
      </c>
      <c r="I504" s="10" t="s">
        <v>101</v>
      </c>
      <c r="J504" s="10">
        <f t="shared" si="15"/>
        <v>10</v>
      </c>
    </row>
    <row r="505" spans="1:10" x14ac:dyDescent="0.35">
      <c r="A505" s="11">
        <v>45958</v>
      </c>
      <c r="B505" s="11">
        <v>45958</v>
      </c>
      <c r="C505" t="s">
        <v>770</v>
      </c>
      <c r="D505" t="s">
        <v>106</v>
      </c>
      <c r="E505" s="9">
        <v>4520000</v>
      </c>
      <c r="F505" s="8"/>
      <c r="G505" s="8">
        <f t="shared" si="14"/>
        <v>44127280.370000012</v>
      </c>
      <c r="I505" s="10" t="s">
        <v>107</v>
      </c>
      <c r="J505" s="10">
        <f t="shared" si="15"/>
        <v>10</v>
      </c>
    </row>
    <row r="506" spans="1:10" x14ac:dyDescent="0.35">
      <c r="A506" s="11">
        <v>45961</v>
      </c>
      <c r="B506" s="11">
        <v>45961</v>
      </c>
      <c r="C506" t="s">
        <v>771</v>
      </c>
      <c r="D506" t="s">
        <v>772</v>
      </c>
      <c r="E506" s="9">
        <v>1150000</v>
      </c>
      <c r="F506" s="8"/>
      <c r="G506" s="8">
        <f t="shared" si="14"/>
        <v>42977280.370000012</v>
      </c>
      <c r="I506" s="10" t="s">
        <v>107</v>
      </c>
      <c r="J506" s="10">
        <f t="shared" si="15"/>
        <v>10</v>
      </c>
    </row>
    <row r="507" spans="1:10" x14ac:dyDescent="0.35">
      <c r="A507" s="11">
        <v>45961</v>
      </c>
      <c r="B507" s="11">
        <v>45961</v>
      </c>
      <c r="C507" t="s">
        <v>773</v>
      </c>
      <c r="D507" t="s">
        <v>113</v>
      </c>
      <c r="E507" s="9">
        <v>7400.94</v>
      </c>
      <c r="F507" s="8"/>
      <c r="G507" s="8">
        <f t="shared" si="14"/>
        <v>42969879.430000015</v>
      </c>
      <c r="I507" s="10" t="s">
        <v>114</v>
      </c>
      <c r="J507" s="10">
        <f t="shared" si="15"/>
        <v>10</v>
      </c>
    </row>
    <row r="508" spans="1:10" x14ac:dyDescent="0.35">
      <c r="A508" s="11">
        <v>45961</v>
      </c>
      <c r="B508" s="11">
        <v>45961</v>
      </c>
      <c r="C508" t="s">
        <v>774</v>
      </c>
      <c r="D508" t="s">
        <v>116</v>
      </c>
      <c r="E508" s="9">
        <v>1600</v>
      </c>
      <c r="F508" s="8"/>
      <c r="G508" s="8">
        <f t="shared" si="14"/>
        <v>42968279.430000015</v>
      </c>
      <c r="I508" s="10" t="s">
        <v>117</v>
      </c>
      <c r="J508" s="10">
        <f t="shared" si="15"/>
        <v>10</v>
      </c>
    </row>
    <row r="509" spans="1:10" x14ac:dyDescent="0.35">
      <c r="A509" s="11">
        <v>45961</v>
      </c>
      <c r="B509" s="11">
        <v>45961</v>
      </c>
      <c r="C509" t="s">
        <v>775</v>
      </c>
      <c r="D509" t="s">
        <v>119</v>
      </c>
      <c r="E509" s="9">
        <v>128</v>
      </c>
      <c r="F509" s="8"/>
      <c r="G509" s="8">
        <f t="shared" si="14"/>
        <v>42968151.430000015</v>
      </c>
      <c r="I509" s="10" t="s">
        <v>120</v>
      </c>
      <c r="J509" s="10">
        <f t="shared" si="15"/>
        <v>10</v>
      </c>
    </row>
    <row r="510" spans="1:10" x14ac:dyDescent="0.35">
      <c r="A510" s="11">
        <v>45961</v>
      </c>
      <c r="B510" s="11">
        <v>45961</v>
      </c>
      <c r="C510" t="s">
        <v>776</v>
      </c>
      <c r="D510" t="s">
        <v>122</v>
      </c>
      <c r="E510" s="9">
        <v>129.6</v>
      </c>
      <c r="F510" s="8"/>
      <c r="G510" s="8">
        <f t="shared" si="14"/>
        <v>42968021.830000013</v>
      </c>
      <c r="I510" s="10" t="s">
        <v>123</v>
      </c>
      <c r="J510" s="10">
        <f t="shared" si="15"/>
        <v>10</v>
      </c>
    </row>
    <row r="511" spans="1:10" x14ac:dyDescent="0.35">
      <c r="A511" s="11">
        <v>45964</v>
      </c>
      <c r="B511" s="11">
        <v>45964</v>
      </c>
      <c r="C511" t="s">
        <v>777</v>
      </c>
      <c r="D511" t="s">
        <v>20</v>
      </c>
      <c r="E511" s="9">
        <v>158000</v>
      </c>
      <c r="F511" s="8"/>
      <c r="G511" s="8">
        <f t="shared" si="14"/>
        <v>42810021.830000013</v>
      </c>
      <c r="I511" s="10" t="s">
        <v>21</v>
      </c>
      <c r="J511" s="10">
        <f t="shared" si="15"/>
        <v>11</v>
      </c>
    </row>
    <row r="512" spans="1:10" x14ac:dyDescent="0.35">
      <c r="A512" s="11">
        <v>45964</v>
      </c>
      <c r="B512" s="11">
        <v>45964</v>
      </c>
      <c r="C512" t="s">
        <v>778</v>
      </c>
      <c r="D512" t="s">
        <v>779</v>
      </c>
      <c r="E512" s="9">
        <v>1891191.93</v>
      </c>
      <c r="F512" s="8"/>
      <c r="G512" s="8">
        <f t="shared" si="14"/>
        <v>40918829.900000013</v>
      </c>
      <c r="I512" s="10" t="s">
        <v>282</v>
      </c>
      <c r="J512" s="10">
        <f t="shared" si="15"/>
        <v>11</v>
      </c>
    </row>
    <row r="513" spans="1:10" x14ac:dyDescent="0.35">
      <c r="A513" s="11">
        <v>45965</v>
      </c>
      <c r="B513" s="11">
        <v>45965</v>
      </c>
      <c r="C513" t="s">
        <v>780</v>
      </c>
      <c r="D513" t="s">
        <v>781</v>
      </c>
      <c r="E513" s="9">
        <v>2278500</v>
      </c>
      <c r="F513" s="8"/>
      <c r="G513" s="8">
        <f t="shared" si="14"/>
        <v>38640329.900000013</v>
      </c>
      <c r="I513" s="10" t="s">
        <v>37</v>
      </c>
      <c r="J513" s="10">
        <f t="shared" si="15"/>
        <v>11</v>
      </c>
    </row>
    <row r="514" spans="1:10" x14ac:dyDescent="0.35">
      <c r="A514" s="11">
        <v>45966</v>
      </c>
      <c r="B514" s="11">
        <v>45966</v>
      </c>
      <c r="C514" t="s">
        <v>782</v>
      </c>
      <c r="D514" t="s">
        <v>30</v>
      </c>
      <c r="E514" s="9">
        <v>444000</v>
      </c>
      <c r="F514" s="8"/>
      <c r="G514" s="8">
        <f t="shared" si="14"/>
        <v>38196329.900000013</v>
      </c>
      <c r="I514" s="10" t="s">
        <v>31</v>
      </c>
      <c r="J514" s="10">
        <f t="shared" si="15"/>
        <v>11</v>
      </c>
    </row>
    <row r="515" spans="1:10" x14ac:dyDescent="0.35">
      <c r="A515" s="11">
        <v>45967</v>
      </c>
      <c r="B515" s="11">
        <v>45967</v>
      </c>
      <c r="C515" t="s">
        <v>783</v>
      </c>
      <c r="D515" t="s">
        <v>784</v>
      </c>
      <c r="E515" s="8"/>
      <c r="F515" s="9">
        <v>3762000</v>
      </c>
      <c r="G515" s="8">
        <f t="shared" si="14"/>
        <v>41958329.900000013</v>
      </c>
      <c r="I515" s="10" t="s">
        <v>15</v>
      </c>
      <c r="J515" s="10">
        <f t="shared" si="15"/>
        <v>11</v>
      </c>
    </row>
    <row r="516" spans="1:10" x14ac:dyDescent="0.35">
      <c r="A516" s="11">
        <v>45967</v>
      </c>
      <c r="B516" s="11">
        <v>45967</v>
      </c>
      <c r="C516" t="s">
        <v>785</v>
      </c>
      <c r="D516" t="s">
        <v>17</v>
      </c>
      <c r="E516" s="9">
        <v>50</v>
      </c>
      <c r="F516" s="8"/>
      <c r="G516" s="8">
        <f t="shared" si="14"/>
        <v>41958279.900000013</v>
      </c>
      <c r="I516" s="10" t="s">
        <v>18</v>
      </c>
      <c r="J516" s="10">
        <f t="shared" si="15"/>
        <v>11</v>
      </c>
    </row>
    <row r="517" spans="1:10" x14ac:dyDescent="0.35">
      <c r="A517" s="11">
        <v>45967</v>
      </c>
      <c r="B517" s="11">
        <v>45967</v>
      </c>
      <c r="C517" t="s">
        <v>786</v>
      </c>
      <c r="D517" t="s">
        <v>787</v>
      </c>
      <c r="E517" s="8"/>
      <c r="F517" s="9">
        <v>1931153.1</v>
      </c>
      <c r="G517" s="8">
        <f t="shared" si="14"/>
        <v>43889433.000000015</v>
      </c>
      <c r="I517" s="10" t="s">
        <v>27</v>
      </c>
      <c r="J517" s="10">
        <f t="shared" si="15"/>
        <v>11</v>
      </c>
    </row>
    <row r="518" spans="1:10" x14ac:dyDescent="0.35">
      <c r="A518" s="11">
        <v>45967</v>
      </c>
      <c r="B518" s="11">
        <v>45967</v>
      </c>
      <c r="C518" t="s">
        <v>788</v>
      </c>
      <c r="D518" t="s">
        <v>17</v>
      </c>
      <c r="E518" s="9">
        <v>50</v>
      </c>
      <c r="F518" s="8"/>
      <c r="G518" s="8">
        <f t="shared" ref="G518:G581" si="16">G517+F518-E518</f>
        <v>43889383.000000015</v>
      </c>
      <c r="I518" s="10" t="s">
        <v>18</v>
      </c>
      <c r="J518" s="10">
        <f t="shared" ref="J518:J581" si="17">MONTH(A518)</f>
        <v>11</v>
      </c>
    </row>
    <row r="519" spans="1:10" x14ac:dyDescent="0.35">
      <c r="A519" s="11">
        <v>45971</v>
      </c>
      <c r="B519" s="11">
        <v>45971</v>
      </c>
      <c r="C519" t="s">
        <v>789</v>
      </c>
      <c r="D519" t="s">
        <v>790</v>
      </c>
      <c r="E519" s="8"/>
      <c r="F519" s="9">
        <v>5376000</v>
      </c>
      <c r="G519" s="8">
        <f t="shared" si="16"/>
        <v>49265383.000000015</v>
      </c>
      <c r="I519" s="10" t="s">
        <v>15</v>
      </c>
      <c r="J519" s="10">
        <f t="shared" si="17"/>
        <v>11</v>
      </c>
    </row>
    <row r="520" spans="1:10" x14ac:dyDescent="0.35">
      <c r="A520" s="11">
        <v>45971</v>
      </c>
      <c r="B520" s="11">
        <v>45971</v>
      </c>
      <c r="C520" t="s">
        <v>791</v>
      </c>
      <c r="D520" t="s">
        <v>17</v>
      </c>
      <c r="E520" s="9">
        <v>50</v>
      </c>
      <c r="F520" s="8"/>
      <c r="G520" s="8">
        <f t="shared" si="16"/>
        <v>49265333.000000015</v>
      </c>
      <c r="I520" s="10" t="s">
        <v>18</v>
      </c>
      <c r="J520" s="10">
        <f t="shared" si="17"/>
        <v>11</v>
      </c>
    </row>
    <row r="521" spans="1:10" x14ac:dyDescent="0.35">
      <c r="A521" s="11">
        <v>45971</v>
      </c>
      <c r="B521" s="11">
        <v>45971</v>
      </c>
      <c r="C521" t="s">
        <v>792</v>
      </c>
      <c r="D521" t="s">
        <v>793</v>
      </c>
      <c r="E521" s="8"/>
      <c r="F521" s="9">
        <v>2135750</v>
      </c>
      <c r="G521" s="8">
        <f t="shared" si="16"/>
        <v>51401083.000000015</v>
      </c>
      <c r="I521" s="10" t="s">
        <v>15</v>
      </c>
      <c r="J521" s="10">
        <f t="shared" si="17"/>
        <v>11</v>
      </c>
    </row>
    <row r="522" spans="1:10" x14ac:dyDescent="0.35">
      <c r="A522" s="11">
        <v>45971</v>
      </c>
      <c r="B522" s="11">
        <v>45971</v>
      </c>
      <c r="C522" t="s">
        <v>794</v>
      </c>
      <c r="D522" t="s">
        <v>17</v>
      </c>
      <c r="E522" s="9">
        <v>50</v>
      </c>
      <c r="F522" s="8"/>
      <c r="G522" s="8">
        <f t="shared" si="16"/>
        <v>51401033.000000015</v>
      </c>
      <c r="I522" s="10" t="s">
        <v>18</v>
      </c>
      <c r="J522" s="10">
        <f t="shared" si="17"/>
        <v>11</v>
      </c>
    </row>
    <row r="523" spans="1:10" x14ac:dyDescent="0.35">
      <c r="A523" s="11">
        <v>45971</v>
      </c>
      <c r="B523" s="11">
        <v>45971</v>
      </c>
      <c r="C523" t="s">
        <v>795</v>
      </c>
      <c r="D523" t="s">
        <v>796</v>
      </c>
      <c r="E523" s="9">
        <v>2227500</v>
      </c>
      <c r="F523" s="8"/>
      <c r="G523" s="8">
        <f t="shared" si="16"/>
        <v>49173533.000000015</v>
      </c>
      <c r="I523" s="10" t="s">
        <v>37</v>
      </c>
      <c r="J523" s="10">
        <f t="shared" si="17"/>
        <v>11</v>
      </c>
    </row>
    <row r="524" spans="1:10" x14ac:dyDescent="0.35">
      <c r="A524" s="11">
        <v>45971</v>
      </c>
      <c r="B524" s="11">
        <v>45971</v>
      </c>
      <c r="C524" t="s">
        <v>797</v>
      </c>
      <c r="D524" t="s">
        <v>798</v>
      </c>
      <c r="E524" s="9">
        <v>4164000</v>
      </c>
      <c r="F524" s="8"/>
      <c r="G524" s="8">
        <f t="shared" si="16"/>
        <v>45009533.000000015</v>
      </c>
      <c r="I524" s="10" t="s">
        <v>37</v>
      </c>
      <c r="J524" s="10">
        <f t="shared" si="17"/>
        <v>11</v>
      </c>
    </row>
    <row r="525" spans="1:10" x14ac:dyDescent="0.35">
      <c r="A525" s="11">
        <v>45971</v>
      </c>
      <c r="B525" s="11">
        <v>45971</v>
      </c>
      <c r="C525" t="s">
        <v>799</v>
      </c>
      <c r="D525" t="s">
        <v>45</v>
      </c>
      <c r="E525" s="9">
        <v>585000</v>
      </c>
      <c r="F525" s="8"/>
      <c r="G525" s="8">
        <f t="shared" si="16"/>
        <v>44424533.000000015</v>
      </c>
      <c r="I525" s="10" t="s">
        <v>46</v>
      </c>
      <c r="J525" s="10">
        <f t="shared" si="17"/>
        <v>11</v>
      </c>
    </row>
    <row r="526" spans="1:10" x14ac:dyDescent="0.35">
      <c r="A526" s="11">
        <v>45971</v>
      </c>
      <c r="B526" s="11">
        <v>45971</v>
      </c>
      <c r="C526" t="s">
        <v>800</v>
      </c>
      <c r="D526" t="s">
        <v>48</v>
      </c>
      <c r="E526" s="9">
        <v>740000</v>
      </c>
      <c r="F526" s="8"/>
      <c r="G526" s="8">
        <f t="shared" si="16"/>
        <v>43684533.000000015</v>
      </c>
      <c r="I526" s="10" t="s">
        <v>49</v>
      </c>
      <c r="J526" s="10">
        <f t="shared" si="17"/>
        <v>11</v>
      </c>
    </row>
    <row r="527" spans="1:10" x14ac:dyDescent="0.35">
      <c r="A527" s="11">
        <v>45973</v>
      </c>
      <c r="B527" s="11">
        <v>45973</v>
      </c>
      <c r="C527" t="s">
        <v>801</v>
      </c>
      <c r="D527" t="s">
        <v>802</v>
      </c>
      <c r="E527" s="9">
        <v>3996500</v>
      </c>
      <c r="F527" s="8"/>
      <c r="G527" s="8">
        <f t="shared" si="16"/>
        <v>39688033.000000015</v>
      </c>
      <c r="I527" s="10" t="s">
        <v>37</v>
      </c>
      <c r="J527" s="10">
        <f t="shared" si="17"/>
        <v>11</v>
      </c>
    </row>
    <row r="528" spans="1:10" x14ac:dyDescent="0.35">
      <c r="A528" s="11">
        <v>45973</v>
      </c>
      <c r="B528" s="11">
        <v>45973</v>
      </c>
      <c r="C528" t="s">
        <v>803</v>
      </c>
      <c r="D528" t="s">
        <v>65</v>
      </c>
      <c r="E528" s="9">
        <v>1059000</v>
      </c>
      <c r="F528" s="8"/>
      <c r="G528" s="8">
        <f t="shared" si="16"/>
        <v>38629033.000000015</v>
      </c>
      <c r="I528" s="10" t="s">
        <v>31</v>
      </c>
      <c r="J528" s="10">
        <f t="shared" si="17"/>
        <v>11</v>
      </c>
    </row>
    <row r="529" spans="1:10" x14ac:dyDescent="0.35">
      <c r="A529" s="11">
        <v>45974</v>
      </c>
      <c r="B529" s="11">
        <v>45974</v>
      </c>
      <c r="C529" t="s">
        <v>804</v>
      </c>
      <c r="D529" t="s">
        <v>805</v>
      </c>
      <c r="E529" s="8"/>
      <c r="F529" s="9">
        <v>1885415.59</v>
      </c>
      <c r="G529" s="8">
        <f t="shared" si="16"/>
        <v>40514448.590000018</v>
      </c>
      <c r="I529" s="10" t="s">
        <v>27</v>
      </c>
      <c r="J529" s="10">
        <f t="shared" si="17"/>
        <v>11</v>
      </c>
    </row>
    <row r="530" spans="1:10" x14ac:dyDescent="0.35">
      <c r="A530" s="11">
        <v>45974</v>
      </c>
      <c r="B530" s="11">
        <v>45974</v>
      </c>
      <c r="C530" t="s">
        <v>806</v>
      </c>
      <c r="D530" t="s">
        <v>17</v>
      </c>
      <c r="E530" s="9">
        <v>50</v>
      </c>
      <c r="F530" s="8"/>
      <c r="G530" s="8">
        <f t="shared" si="16"/>
        <v>40514398.590000018</v>
      </c>
      <c r="I530" s="10" t="s">
        <v>18</v>
      </c>
      <c r="J530" s="10">
        <f t="shared" si="17"/>
        <v>11</v>
      </c>
    </row>
    <row r="531" spans="1:10" x14ac:dyDescent="0.35">
      <c r="A531" s="11">
        <v>45975</v>
      </c>
      <c r="B531" s="11">
        <v>45975</v>
      </c>
      <c r="C531" t="s">
        <v>807</v>
      </c>
      <c r="D531" t="s">
        <v>808</v>
      </c>
      <c r="E531" s="8"/>
      <c r="F531" s="9">
        <v>4381517.4400000004</v>
      </c>
      <c r="G531" s="8">
        <f t="shared" si="16"/>
        <v>44895916.030000016</v>
      </c>
      <c r="I531" s="10" t="s">
        <v>40</v>
      </c>
      <c r="J531" s="10">
        <f t="shared" si="17"/>
        <v>11</v>
      </c>
    </row>
    <row r="532" spans="1:10" x14ac:dyDescent="0.35">
      <c r="A532" s="11">
        <v>45975</v>
      </c>
      <c r="B532" s="11">
        <v>45975</v>
      </c>
      <c r="C532" t="s">
        <v>809</v>
      </c>
      <c r="D532" t="s">
        <v>17</v>
      </c>
      <c r="E532" s="9">
        <v>50</v>
      </c>
      <c r="F532" s="8"/>
      <c r="G532" s="8">
        <f t="shared" si="16"/>
        <v>44895866.030000016</v>
      </c>
      <c r="I532" s="10" t="s">
        <v>18</v>
      </c>
      <c r="J532" s="10">
        <f t="shared" si="17"/>
        <v>11</v>
      </c>
    </row>
    <row r="533" spans="1:10" x14ac:dyDescent="0.35">
      <c r="A533" s="11">
        <v>45978</v>
      </c>
      <c r="B533" s="11">
        <v>45978</v>
      </c>
      <c r="C533" t="s">
        <v>810</v>
      </c>
      <c r="D533" t="s">
        <v>70</v>
      </c>
      <c r="E533" s="9">
        <v>81100</v>
      </c>
      <c r="F533" s="8"/>
      <c r="G533" s="8">
        <f t="shared" si="16"/>
        <v>44814766.030000016</v>
      </c>
      <c r="I533" s="10" t="s">
        <v>71</v>
      </c>
      <c r="J533" s="10">
        <f t="shared" si="17"/>
        <v>11</v>
      </c>
    </row>
    <row r="534" spans="1:10" x14ac:dyDescent="0.35">
      <c r="A534" s="11">
        <v>45978</v>
      </c>
      <c r="B534" s="11">
        <v>45978</v>
      </c>
      <c r="C534" t="s">
        <v>811</v>
      </c>
      <c r="D534" t="s">
        <v>141</v>
      </c>
      <c r="E534" s="9">
        <v>371000</v>
      </c>
      <c r="F534" s="8"/>
      <c r="G534" s="8">
        <f t="shared" si="16"/>
        <v>44443766.030000016</v>
      </c>
      <c r="I534" s="10" t="s">
        <v>77</v>
      </c>
      <c r="J534" s="10">
        <f t="shared" si="17"/>
        <v>11</v>
      </c>
    </row>
    <row r="535" spans="1:10" x14ac:dyDescent="0.35">
      <c r="A535" s="11">
        <v>45979</v>
      </c>
      <c r="B535" s="11">
        <v>45979</v>
      </c>
      <c r="C535" t="s">
        <v>812</v>
      </c>
      <c r="D535" t="s">
        <v>813</v>
      </c>
      <c r="E535" s="9">
        <v>9815400</v>
      </c>
      <c r="F535" s="8"/>
      <c r="G535" s="8">
        <f t="shared" si="16"/>
        <v>34628366.030000016</v>
      </c>
      <c r="I535" s="10" t="s">
        <v>37</v>
      </c>
      <c r="J535" s="10">
        <f t="shared" si="17"/>
        <v>11</v>
      </c>
    </row>
    <row r="536" spans="1:10" x14ac:dyDescent="0.35">
      <c r="A536" s="11">
        <v>45979</v>
      </c>
      <c r="B536" s="11">
        <v>45979</v>
      </c>
      <c r="C536" t="s">
        <v>814</v>
      </c>
      <c r="D536" t="s">
        <v>146</v>
      </c>
      <c r="E536" s="9">
        <v>42500</v>
      </c>
      <c r="F536" s="8"/>
      <c r="G536" s="8">
        <f t="shared" si="16"/>
        <v>34585866.030000016</v>
      </c>
      <c r="I536" s="10" t="s">
        <v>147</v>
      </c>
      <c r="J536" s="10">
        <f t="shared" si="17"/>
        <v>11</v>
      </c>
    </row>
    <row r="537" spans="1:10" x14ac:dyDescent="0.35">
      <c r="A537" s="11">
        <v>45980</v>
      </c>
      <c r="B537" s="11">
        <v>45980</v>
      </c>
      <c r="C537" t="s">
        <v>815</v>
      </c>
      <c r="D537" t="s">
        <v>816</v>
      </c>
      <c r="E537" s="8"/>
      <c r="F537" s="9">
        <v>2135750</v>
      </c>
      <c r="G537" s="8">
        <f t="shared" si="16"/>
        <v>36721616.030000016</v>
      </c>
      <c r="I537" s="10" t="s">
        <v>15</v>
      </c>
      <c r="J537" s="10">
        <f t="shared" si="17"/>
        <v>11</v>
      </c>
    </row>
    <row r="538" spans="1:10" x14ac:dyDescent="0.35">
      <c r="A538" s="11">
        <v>45980</v>
      </c>
      <c r="B538" s="11">
        <v>45980</v>
      </c>
      <c r="C538" t="s">
        <v>817</v>
      </c>
      <c r="D538" t="s">
        <v>17</v>
      </c>
      <c r="E538" s="9">
        <v>50</v>
      </c>
      <c r="F538" s="8"/>
      <c r="G538" s="8">
        <f t="shared" si="16"/>
        <v>36721566.030000016</v>
      </c>
      <c r="I538" s="10" t="s">
        <v>18</v>
      </c>
      <c r="J538" s="10">
        <f t="shared" si="17"/>
        <v>11</v>
      </c>
    </row>
    <row r="539" spans="1:10" x14ac:dyDescent="0.35">
      <c r="A539" s="11">
        <v>45981</v>
      </c>
      <c r="B539" s="11">
        <v>45981</v>
      </c>
      <c r="C539" t="s">
        <v>818</v>
      </c>
      <c r="D539" t="s">
        <v>819</v>
      </c>
      <c r="E539" s="8"/>
      <c r="F539" s="9">
        <v>1601723.4</v>
      </c>
      <c r="G539" s="8">
        <f t="shared" si="16"/>
        <v>38323289.430000015</v>
      </c>
      <c r="I539" s="10" t="s">
        <v>27</v>
      </c>
      <c r="J539" s="10">
        <f t="shared" si="17"/>
        <v>11</v>
      </c>
    </row>
    <row r="540" spans="1:10" x14ac:dyDescent="0.35">
      <c r="A540" s="11">
        <v>45981</v>
      </c>
      <c r="B540" s="11">
        <v>45981</v>
      </c>
      <c r="C540" t="s">
        <v>820</v>
      </c>
      <c r="D540" t="s">
        <v>17</v>
      </c>
      <c r="E540" s="9">
        <v>50</v>
      </c>
      <c r="F540" s="8"/>
      <c r="G540" s="8">
        <f t="shared" si="16"/>
        <v>38323239.430000015</v>
      </c>
      <c r="I540" s="10" t="s">
        <v>18</v>
      </c>
      <c r="J540" s="10">
        <f t="shared" si="17"/>
        <v>11</v>
      </c>
    </row>
    <row r="541" spans="1:10" x14ac:dyDescent="0.35">
      <c r="A541" s="11">
        <v>45982</v>
      </c>
      <c r="B541" s="11">
        <v>45982</v>
      </c>
      <c r="C541" t="s">
        <v>821</v>
      </c>
      <c r="D541" t="s">
        <v>822</v>
      </c>
      <c r="E541" s="8"/>
      <c r="F541" s="9">
        <v>5216250</v>
      </c>
      <c r="G541" s="8">
        <f t="shared" si="16"/>
        <v>43539489.430000015</v>
      </c>
      <c r="I541" s="10" t="s">
        <v>15</v>
      </c>
      <c r="J541" s="10">
        <f t="shared" si="17"/>
        <v>11</v>
      </c>
    </row>
    <row r="542" spans="1:10" x14ac:dyDescent="0.35">
      <c r="A542" s="11">
        <v>45982</v>
      </c>
      <c r="B542" s="11">
        <v>45982</v>
      </c>
      <c r="C542" t="s">
        <v>823</v>
      </c>
      <c r="D542" t="s">
        <v>17</v>
      </c>
      <c r="E542" s="9">
        <v>50</v>
      </c>
      <c r="F542" s="8"/>
      <c r="G542" s="8">
        <f t="shared" si="16"/>
        <v>43539439.430000015</v>
      </c>
      <c r="I542" s="10" t="s">
        <v>18</v>
      </c>
      <c r="J542" s="10">
        <f t="shared" si="17"/>
        <v>11</v>
      </c>
    </row>
    <row r="543" spans="1:10" x14ac:dyDescent="0.35">
      <c r="A543" s="11">
        <v>45982</v>
      </c>
      <c r="B543" s="11">
        <v>45982</v>
      </c>
      <c r="C543" t="s">
        <v>824</v>
      </c>
      <c r="D543" t="s">
        <v>85</v>
      </c>
      <c r="E543" s="9">
        <v>1798400</v>
      </c>
      <c r="F543" s="8"/>
      <c r="G543" s="8">
        <f t="shared" si="16"/>
        <v>41741039.430000015</v>
      </c>
      <c r="I543" s="10" t="s">
        <v>86</v>
      </c>
      <c r="J543" s="10">
        <f t="shared" si="17"/>
        <v>11</v>
      </c>
    </row>
    <row r="544" spans="1:10" x14ac:dyDescent="0.35">
      <c r="A544" s="11">
        <v>45985</v>
      </c>
      <c r="B544" s="11">
        <v>45985</v>
      </c>
      <c r="C544" t="s">
        <v>825</v>
      </c>
      <c r="D544" t="s">
        <v>826</v>
      </c>
      <c r="E544" s="8"/>
      <c r="F544" s="9">
        <v>7979000</v>
      </c>
      <c r="G544" s="8">
        <f t="shared" si="16"/>
        <v>49720039.430000015</v>
      </c>
      <c r="I544" s="10" t="s">
        <v>15</v>
      </c>
      <c r="J544" s="10">
        <f t="shared" si="17"/>
        <v>11</v>
      </c>
    </row>
    <row r="545" spans="1:10" x14ac:dyDescent="0.35">
      <c r="A545" s="11">
        <v>45985</v>
      </c>
      <c r="B545" s="11">
        <v>45985</v>
      </c>
      <c r="C545" t="s">
        <v>827</v>
      </c>
      <c r="D545" t="s">
        <v>17</v>
      </c>
      <c r="E545" s="9">
        <v>50</v>
      </c>
      <c r="F545" s="8"/>
      <c r="G545" s="8">
        <f t="shared" si="16"/>
        <v>49719989.430000015</v>
      </c>
      <c r="I545" s="10" t="s">
        <v>18</v>
      </c>
      <c r="J545" s="10">
        <f t="shared" si="17"/>
        <v>11</v>
      </c>
    </row>
    <row r="546" spans="1:10" x14ac:dyDescent="0.35">
      <c r="A546" s="11">
        <v>45985</v>
      </c>
      <c r="B546" s="11">
        <v>45985</v>
      </c>
      <c r="C546" t="s">
        <v>828</v>
      </c>
      <c r="D546" t="s">
        <v>829</v>
      </c>
      <c r="E546" s="9">
        <v>3699000</v>
      </c>
      <c r="F546" s="8"/>
      <c r="G546" s="8">
        <f t="shared" si="16"/>
        <v>46020989.430000015</v>
      </c>
      <c r="I546" s="10" t="s">
        <v>37</v>
      </c>
      <c r="J546" s="10">
        <f t="shared" si="17"/>
        <v>11</v>
      </c>
    </row>
    <row r="547" spans="1:10" x14ac:dyDescent="0.35">
      <c r="A547" s="11">
        <v>45985</v>
      </c>
      <c r="B547" s="11">
        <v>45985</v>
      </c>
      <c r="C547" t="s">
        <v>830</v>
      </c>
      <c r="D547" t="s">
        <v>62</v>
      </c>
      <c r="E547" s="9">
        <v>1257000</v>
      </c>
      <c r="F547" s="8"/>
      <c r="G547" s="8">
        <f t="shared" si="16"/>
        <v>44763989.430000015</v>
      </c>
      <c r="I547" s="10" t="s">
        <v>63</v>
      </c>
      <c r="J547" s="10">
        <f t="shared" si="17"/>
        <v>11</v>
      </c>
    </row>
    <row r="548" spans="1:10" x14ac:dyDescent="0.35">
      <c r="A548" s="11">
        <v>45985</v>
      </c>
      <c r="B548" s="11">
        <v>45985</v>
      </c>
      <c r="C548" t="s">
        <v>831</v>
      </c>
      <c r="D548" t="s">
        <v>62</v>
      </c>
      <c r="E548" s="9">
        <v>760000</v>
      </c>
      <c r="F548" s="8"/>
      <c r="G548" s="8">
        <f t="shared" si="16"/>
        <v>44003989.430000015</v>
      </c>
      <c r="I548" s="10" t="s">
        <v>63</v>
      </c>
      <c r="J548" s="10">
        <f t="shared" si="17"/>
        <v>11</v>
      </c>
    </row>
    <row r="549" spans="1:10" x14ac:dyDescent="0.35">
      <c r="A549" s="11">
        <v>45987</v>
      </c>
      <c r="B549" s="11">
        <v>45987</v>
      </c>
      <c r="C549" t="s">
        <v>832</v>
      </c>
      <c r="D549" t="s">
        <v>100</v>
      </c>
      <c r="E549" s="9">
        <v>161000</v>
      </c>
      <c r="F549" s="8"/>
      <c r="G549" s="8">
        <f t="shared" si="16"/>
        <v>43842989.430000015</v>
      </c>
      <c r="I549" s="10" t="s">
        <v>101</v>
      </c>
      <c r="J549" s="10">
        <f t="shared" si="17"/>
        <v>11</v>
      </c>
    </row>
    <row r="550" spans="1:10" x14ac:dyDescent="0.35">
      <c r="A550" s="11">
        <v>45988</v>
      </c>
      <c r="B550" s="11">
        <v>45988</v>
      </c>
      <c r="C550" t="s">
        <v>833</v>
      </c>
      <c r="D550" t="s">
        <v>834</v>
      </c>
      <c r="E550" s="8"/>
      <c r="F550" s="9">
        <v>2184149.2799999998</v>
      </c>
      <c r="G550" s="8">
        <f t="shared" si="16"/>
        <v>46027138.710000016</v>
      </c>
      <c r="I550" s="10" t="s">
        <v>27</v>
      </c>
      <c r="J550" s="10">
        <f t="shared" si="17"/>
        <v>11</v>
      </c>
    </row>
    <row r="551" spans="1:10" x14ac:dyDescent="0.35">
      <c r="A551" s="11">
        <v>45988</v>
      </c>
      <c r="B551" s="11">
        <v>45988</v>
      </c>
      <c r="C551" t="s">
        <v>835</v>
      </c>
      <c r="D551" t="s">
        <v>17</v>
      </c>
      <c r="E551" s="9">
        <v>50</v>
      </c>
      <c r="F551" s="8"/>
      <c r="G551" s="8">
        <f t="shared" si="16"/>
        <v>46027088.710000016</v>
      </c>
      <c r="I551" s="10" t="s">
        <v>18</v>
      </c>
      <c r="J551" s="10">
        <f t="shared" si="17"/>
        <v>11</v>
      </c>
    </row>
    <row r="552" spans="1:10" x14ac:dyDescent="0.35">
      <c r="A552" s="11">
        <v>45989</v>
      </c>
      <c r="B552" s="11">
        <v>45989</v>
      </c>
      <c r="C552" t="s">
        <v>836</v>
      </c>
      <c r="D552" t="s">
        <v>106</v>
      </c>
      <c r="E552" s="9">
        <v>4520000</v>
      </c>
      <c r="F552" s="8"/>
      <c r="G552" s="8">
        <f t="shared" si="16"/>
        <v>41507088.710000016</v>
      </c>
      <c r="I552" s="10" t="s">
        <v>107</v>
      </c>
      <c r="J552" s="10">
        <f t="shared" si="17"/>
        <v>11</v>
      </c>
    </row>
    <row r="553" spans="1:10" x14ac:dyDescent="0.35">
      <c r="A553" s="11">
        <v>45989</v>
      </c>
      <c r="B553" s="11">
        <v>45989</v>
      </c>
      <c r="C553" t="s">
        <v>837</v>
      </c>
      <c r="D553" t="s">
        <v>838</v>
      </c>
      <c r="E553" s="9">
        <v>1150000</v>
      </c>
      <c r="F553" s="8"/>
      <c r="G553" s="8">
        <f t="shared" si="16"/>
        <v>40357088.710000016</v>
      </c>
      <c r="I553" s="10" t="s">
        <v>481</v>
      </c>
      <c r="J553" s="10">
        <f t="shared" si="17"/>
        <v>11</v>
      </c>
    </row>
    <row r="554" spans="1:10" x14ac:dyDescent="0.35">
      <c r="A554" s="11">
        <v>45989</v>
      </c>
      <c r="B554" s="11">
        <v>45989</v>
      </c>
      <c r="C554" t="s">
        <v>839</v>
      </c>
      <c r="D554" t="s">
        <v>113</v>
      </c>
      <c r="E554" s="9">
        <v>12359.73</v>
      </c>
      <c r="F554" s="8"/>
      <c r="G554" s="8">
        <f t="shared" si="16"/>
        <v>40344728.980000019</v>
      </c>
      <c r="I554" s="10" t="s">
        <v>114</v>
      </c>
      <c r="J554" s="10">
        <f t="shared" si="17"/>
        <v>11</v>
      </c>
    </row>
    <row r="555" spans="1:10" x14ac:dyDescent="0.35">
      <c r="A555" s="11">
        <v>45989</v>
      </c>
      <c r="B555" s="11">
        <v>45989</v>
      </c>
      <c r="C555" t="s">
        <v>840</v>
      </c>
      <c r="D555" t="s">
        <v>116</v>
      </c>
      <c r="E555" s="9">
        <v>1600</v>
      </c>
      <c r="F555" s="8"/>
      <c r="G555" s="8">
        <f t="shared" si="16"/>
        <v>40343128.980000019</v>
      </c>
      <c r="I555" s="10" t="s">
        <v>117</v>
      </c>
      <c r="J555" s="10">
        <f t="shared" si="17"/>
        <v>11</v>
      </c>
    </row>
    <row r="556" spans="1:10" x14ac:dyDescent="0.35">
      <c r="A556" s="11">
        <v>45989</v>
      </c>
      <c r="B556" s="11">
        <v>45989</v>
      </c>
      <c r="C556" t="s">
        <v>841</v>
      </c>
      <c r="D556" t="s">
        <v>119</v>
      </c>
      <c r="E556" s="9">
        <v>128</v>
      </c>
      <c r="F556" s="8"/>
      <c r="G556" s="8">
        <f t="shared" si="16"/>
        <v>40343000.980000019</v>
      </c>
      <c r="I556" s="10" t="s">
        <v>120</v>
      </c>
      <c r="J556" s="10">
        <f t="shared" si="17"/>
        <v>11</v>
      </c>
    </row>
    <row r="557" spans="1:10" x14ac:dyDescent="0.35">
      <c r="A557" s="11">
        <v>45989</v>
      </c>
      <c r="B557" s="11">
        <v>45989</v>
      </c>
      <c r="C557" t="s">
        <v>842</v>
      </c>
      <c r="D557" t="s">
        <v>122</v>
      </c>
      <c r="E557" s="9">
        <v>129.6</v>
      </c>
      <c r="F557" s="8"/>
      <c r="G557" s="8">
        <f t="shared" si="16"/>
        <v>40342871.380000018</v>
      </c>
      <c r="I557" s="10" t="s">
        <v>123</v>
      </c>
      <c r="J557" s="10">
        <f t="shared" si="17"/>
        <v>11</v>
      </c>
    </row>
    <row r="558" spans="1:10" x14ac:dyDescent="0.35">
      <c r="A558" s="11">
        <v>45994</v>
      </c>
      <c r="B558" s="11">
        <v>45994</v>
      </c>
      <c r="C558" t="s">
        <v>843</v>
      </c>
      <c r="D558" t="s">
        <v>844</v>
      </c>
      <c r="E558" s="8"/>
      <c r="F558" s="9">
        <v>2929500</v>
      </c>
      <c r="G558" s="8">
        <f t="shared" si="16"/>
        <v>43272371.380000018</v>
      </c>
      <c r="I558" s="10" t="s">
        <v>15</v>
      </c>
      <c r="J558" s="10">
        <f t="shared" si="17"/>
        <v>12</v>
      </c>
    </row>
    <row r="559" spans="1:10" x14ac:dyDescent="0.35">
      <c r="A559" s="11">
        <v>45994</v>
      </c>
      <c r="B559" s="11">
        <v>45994</v>
      </c>
      <c r="C559" t="s">
        <v>845</v>
      </c>
      <c r="D559" t="s">
        <v>17</v>
      </c>
      <c r="E559" s="9">
        <v>50</v>
      </c>
      <c r="F559" s="8"/>
      <c r="G559" s="8">
        <f t="shared" si="16"/>
        <v>43272321.380000018</v>
      </c>
      <c r="I559" s="10" t="s">
        <v>18</v>
      </c>
      <c r="J559" s="10">
        <f t="shared" si="17"/>
        <v>12</v>
      </c>
    </row>
    <row r="560" spans="1:10" x14ac:dyDescent="0.35">
      <c r="A560" s="11">
        <v>45994</v>
      </c>
      <c r="B560" s="11">
        <v>45994</v>
      </c>
      <c r="C560" t="s">
        <v>846</v>
      </c>
      <c r="D560" t="s">
        <v>847</v>
      </c>
      <c r="E560" s="9">
        <v>4483000</v>
      </c>
      <c r="F560" s="8"/>
      <c r="G560" s="8">
        <f t="shared" si="16"/>
        <v>38789321.380000018</v>
      </c>
      <c r="I560" s="10" t="s">
        <v>37</v>
      </c>
      <c r="J560" s="10">
        <f t="shared" si="17"/>
        <v>12</v>
      </c>
    </row>
    <row r="561" spans="1:10" x14ac:dyDescent="0.35">
      <c r="A561" s="11">
        <v>45994</v>
      </c>
      <c r="B561" s="11">
        <v>45994</v>
      </c>
      <c r="C561" t="s">
        <v>848</v>
      </c>
      <c r="D561" t="s">
        <v>20</v>
      </c>
      <c r="E561" s="9">
        <v>157900</v>
      </c>
      <c r="F561" s="8"/>
      <c r="G561" s="8">
        <f t="shared" si="16"/>
        <v>38631421.380000018</v>
      </c>
      <c r="I561" s="10" t="s">
        <v>21</v>
      </c>
      <c r="J561" s="10">
        <f t="shared" si="17"/>
        <v>12</v>
      </c>
    </row>
    <row r="562" spans="1:10" x14ac:dyDescent="0.35">
      <c r="A562" s="11">
        <v>45994</v>
      </c>
      <c r="B562" s="11">
        <v>45994</v>
      </c>
      <c r="C562" t="s">
        <v>849</v>
      </c>
      <c r="D562" t="s">
        <v>850</v>
      </c>
      <c r="E562" s="9">
        <v>1891191.93</v>
      </c>
      <c r="F562" s="8"/>
      <c r="G562" s="8">
        <f t="shared" si="16"/>
        <v>36740229.450000018</v>
      </c>
      <c r="I562" s="10" t="s">
        <v>282</v>
      </c>
      <c r="J562" s="10">
        <f t="shared" si="17"/>
        <v>12</v>
      </c>
    </row>
    <row r="563" spans="1:10" x14ac:dyDescent="0.35">
      <c r="A563" s="11">
        <v>45994</v>
      </c>
      <c r="B563" s="11">
        <v>45994</v>
      </c>
      <c r="C563" t="s">
        <v>851</v>
      </c>
      <c r="D563" t="s">
        <v>852</v>
      </c>
      <c r="E563" s="9">
        <v>4320000</v>
      </c>
      <c r="F563" s="8"/>
      <c r="G563" s="8">
        <f t="shared" si="16"/>
        <v>32420229.450000018</v>
      </c>
      <c r="I563" s="10" t="s">
        <v>174</v>
      </c>
      <c r="J563" s="10">
        <f t="shared" si="17"/>
        <v>12</v>
      </c>
    </row>
    <row r="564" spans="1:10" x14ac:dyDescent="0.35">
      <c r="A564" s="11">
        <v>45995</v>
      </c>
      <c r="B564" s="11">
        <v>45995</v>
      </c>
      <c r="C564" t="s">
        <v>853</v>
      </c>
      <c r="D564" t="s">
        <v>854</v>
      </c>
      <c r="E564" s="8"/>
      <c r="F564" s="9">
        <v>5393406.9800000004</v>
      </c>
      <c r="G564" s="8">
        <f t="shared" si="16"/>
        <v>37813636.430000022</v>
      </c>
      <c r="I564" s="10" t="s">
        <v>40</v>
      </c>
      <c r="J564" s="10">
        <f t="shared" si="17"/>
        <v>12</v>
      </c>
    </row>
    <row r="565" spans="1:10" x14ac:dyDescent="0.35">
      <c r="A565" s="11">
        <v>45995</v>
      </c>
      <c r="B565" s="11">
        <v>45995</v>
      </c>
      <c r="C565" t="s">
        <v>855</v>
      </c>
      <c r="D565" t="s">
        <v>17</v>
      </c>
      <c r="E565" s="9">
        <v>50</v>
      </c>
      <c r="F565" s="8"/>
      <c r="G565" s="8">
        <f t="shared" si="16"/>
        <v>37813586.430000022</v>
      </c>
      <c r="I565" s="10" t="s">
        <v>18</v>
      </c>
      <c r="J565" s="10">
        <f t="shared" si="17"/>
        <v>12</v>
      </c>
    </row>
    <row r="566" spans="1:10" x14ac:dyDescent="0.35">
      <c r="A566" s="11">
        <v>45996</v>
      </c>
      <c r="B566" s="11">
        <v>45996</v>
      </c>
      <c r="C566" t="s">
        <v>856</v>
      </c>
      <c r="D566" t="s">
        <v>30</v>
      </c>
      <c r="E566" s="9">
        <v>448000</v>
      </c>
      <c r="F566" s="8"/>
      <c r="G566" s="8">
        <f t="shared" si="16"/>
        <v>37365586.430000022</v>
      </c>
      <c r="I566" s="10" t="s">
        <v>31</v>
      </c>
      <c r="J566" s="10">
        <f t="shared" si="17"/>
        <v>12</v>
      </c>
    </row>
    <row r="567" spans="1:10" x14ac:dyDescent="0.35">
      <c r="A567" s="11">
        <v>45999</v>
      </c>
      <c r="B567" s="11">
        <v>45999</v>
      </c>
      <c r="C567" t="s">
        <v>857</v>
      </c>
      <c r="D567" t="s">
        <v>858</v>
      </c>
      <c r="E567" s="8"/>
      <c r="F567" s="9">
        <v>1960074.8</v>
      </c>
      <c r="G567" s="8">
        <f t="shared" si="16"/>
        <v>39325661.230000019</v>
      </c>
      <c r="I567" s="10" t="s">
        <v>27</v>
      </c>
      <c r="J567" s="10">
        <f t="shared" si="17"/>
        <v>12</v>
      </c>
    </row>
    <row r="568" spans="1:10" x14ac:dyDescent="0.35">
      <c r="A568" s="11">
        <v>45999</v>
      </c>
      <c r="B568" s="11">
        <v>45999</v>
      </c>
      <c r="C568" t="s">
        <v>859</v>
      </c>
      <c r="D568" t="s">
        <v>17</v>
      </c>
      <c r="E568" s="9">
        <v>50</v>
      </c>
      <c r="F568" s="8"/>
      <c r="G568" s="8">
        <f t="shared" si="16"/>
        <v>39325611.230000019</v>
      </c>
      <c r="I568" s="10" t="s">
        <v>18</v>
      </c>
      <c r="J568" s="10">
        <f t="shared" si="17"/>
        <v>12</v>
      </c>
    </row>
    <row r="569" spans="1:10" x14ac:dyDescent="0.35">
      <c r="A569" s="11">
        <v>46001</v>
      </c>
      <c r="B569" s="11">
        <v>46001</v>
      </c>
      <c r="C569" t="s">
        <v>860</v>
      </c>
      <c r="D569" t="s">
        <v>45</v>
      </c>
      <c r="E569" s="9">
        <v>585000</v>
      </c>
      <c r="F569" s="8"/>
      <c r="G569" s="8">
        <f t="shared" si="16"/>
        <v>38740611.230000019</v>
      </c>
      <c r="I569" s="10" t="s">
        <v>46</v>
      </c>
      <c r="J569" s="10">
        <f t="shared" si="17"/>
        <v>12</v>
      </c>
    </row>
    <row r="570" spans="1:10" x14ac:dyDescent="0.35">
      <c r="A570" s="11">
        <v>46001</v>
      </c>
      <c r="B570" s="11">
        <v>46001</v>
      </c>
      <c r="C570" t="s">
        <v>861</v>
      </c>
      <c r="D570" t="s">
        <v>48</v>
      </c>
      <c r="E570" s="9">
        <v>740000</v>
      </c>
      <c r="F570" s="8"/>
      <c r="G570" s="8">
        <f t="shared" si="16"/>
        <v>38000611.230000019</v>
      </c>
      <c r="I570" s="10" t="s">
        <v>49</v>
      </c>
      <c r="J570" s="10">
        <f t="shared" si="17"/>
        <v>12</v>
      </c>
    </row>
    <row r="571" spans="1:10" x14ac:dyDescent="0.35">
      <c r="A571" s="11">
        <v>46003</v>
      </c>
      <c r="B571" s="11">
        <v>46003</v>
      </c>
      <c r="C571" t="s">
        <v>862</v>
      </c>
      <c r="D571" t="s">
        <v>863</v>
      </c>
      <c r="E571" s="8"/>
      <c r="F571" s="9">
        <v>2929500</v>
      </c>
      <c r="G571" s="8">
        <f t="shared" si="16"/>
        <v>40930111.230000019</v>
      </c>
      <c r="I571" s="10" t="s">
        <v>15</v>
      </c>
      <c r="J571" s="10">
        <f t="shared" si="17"/>
        <v>12</v>
      </c>
    </row>
    <row r="572" spans="1:10" x14ac:dyDescent="0.35">
      <c r="A572" s="11">
        <v>46003</v>
      </c>
      <c r="B572" s="11">
        <v>46003</v>
      </c>
      <c r="C572" t="s">
        <v>864</v>
      </c>
      <c r="D572" t="s">
        <v>17</v>
      </c>
      <c r="E572" s="9">
        <v>50</v>
      </c>
      <c r="F572" s="8"/>
      <c r="G572" s="8">
        <f t="shared" si="16"/>
        <v>40930061.230000019</v>
      </c>
      <c r="I572" s="10" t="s">
        <v>18</v>
      </c>
      <c r="J572" s="10">
        <f t="shared" si="17"/>
        <v>12</v>
      </c>
    </row>
    <row r="573" spans="1:10" x14ac:dyDescent="0.35">
      <c r="A573" s="11">
        <v>46003</v>
      </c>
      <c r="B573" s="11">
        <v>46003</v>
      </c>
      <c r="C573" t="s">
        <v>865</v>
      </c>
      <c r="D573" t="s">
        <v>866</v>
      </c>
      <c r="E573" s="9">
        <v>4501500</v>
      </c>
      <c r="F573" s="8"/>
      <c r="G573" s="8">
        <f t="shared" si="16"/>
        <v>36428561.230000019</v>
      </c>
      <c r="I573" s="10" t="s">
        <v>37</v>
      </c>
      <c r="J573" s="10">
        <f t="shared" si="17"/>
        <v>12</v>
      </c>
    </row>
    <row r="574" spans="1:10" x14ac:dyDescent="0.35">
      <c r="A574" s="11">
        <v>46003</v>
      </c>
      <c r="B574" s="11">
        <v>46003</v>
      </c>
      <c r="C574" t="s">
        <v>867</v>
      </c>
      <c r="D574" t="s">
        <v>65</v>
      </c>
      <c r="E574" s="9">
        <v>954000</v>
      </c>
      <c r="F574" s="8"/>
      <c r="G574" s="8">
        <f t="shared" si="16"/>
        <v>35474561.230000019</v>
      </c>
      <c r="I574" s="10" t="s">
        <v>31</v>
      </c>
      <c r="J574" s="10">
        <f t="shared" si="17"/>
        <v>12</v>
      </c>
    </row>
    <row r="575" spans="1:10" x14ac:dyDescent="0.35">
      <c r="A575" s="11">
        <v>46006</v>
      </c>
      <c r="B575" s="11">
        <v>46006</v>
      </c>
      <c r="C575" t="s">
        <v>868</v>
      </c>
      <c r="D575" t="s">
        <v>869</v>
      </c>
      <c r="E575" s="8"/>
      <c r="F575" s="9">
        <v>2115468.5</v>
      </c>
      <c r="G575" s="8">
        <f t="shared" si="16"/>
        <v>37590029.730000019</v>
      </c>
      <c r="I575" s="10" t="s">
        <v>27</v>
      </c>
      <c r="J575" s="10">
        <f t="shared" si="17"/>
        <v>12</v>
      </c>
    </row>
    <row r="576" spans="1:10" x14ac:dyDescent="0.35">
      <c r="A576" s="11">
        <v>46006</v>
      </c>
      <c r="B576" s="11">
        <v>46006</v>
      </c>
      <c r="C576" t="s">
        <v>870</v>
      </c>
      <c r="D576" t="s">
        <v>17</v>
      </c>
      <c r="E576" s="9">
        <v>50</v>
      </c>
      <c r="F576" s="8"/>
      <c r="G576" s="8">
        <f t="shared" si="16"/>
        <v>37589979.730000019</v>
      </c>
      <c r="I576" s="10" t="s">
        <v>18</v>
      </c>
      <c r="J576" s="10">
        <f t="shared" si="17"/>
        <v>12</v>
      </c>
    </row>
    <row r="577" spans="1:10" x14ac:dyDescent="0.35">
      <c r="A577" s="11">
        <v>46006</v>
      </c>
      <c r="B577" s="11">
        <v>46006</v>
      </c>
      <c r="C577" t="s">
        <v>871</v>
      </c>
      <c r="D577" t="s">
        <v>872</v>
      </c>
      <c r="E577" s="9">
        <v>2822500</v>
      </c>
      <c r="F577" s="8"/>
      <c r="G577" s="8">
        <f t="shared" si="16"/>
        <v>34767479.730000019</v>
      </c>
      <c r="I577" s="10" t="s">
        <v>37</v>
      </c>
      <c r="J577" s="10">
        <f t="shared" si="17"/>
        <v>12</v>
      </c>
    </row>
    <row r="578" spans="1:10" x14ac:dyDescent="0.35">
      <c r="A578" s="11">
        <v>46006</v>
      </c>
      <c r="B578" s="11">
        <v>46006</v>
      </c>
      <c r="C578" t="s">
        <v>873</v>
      </c>
      <c r="D578" t="s">
        <v>62</v>
      </c>
      <c r="E578" s="9">
        <v>1436000</v>
      </c>
      <c r="F578" s="8"/>
      <c r="G578" s="8">
        <f t="shared" si="16"/>
        <v>33331479.730000019</v>
      </c>
      <c r="I578" s="10" t="s">
        <v>63</v>
      </c>
      <c r="J578" s="10">
        <f t="shared" si="17"/>
        <v>12</v>
      </c>
    </row>
    <row r="579" spans="1:10" x14ac:dyDescent="0.35">
      <c r="A579" s="11">
        <v>46006</v>
      </c>
      <c r="B579" s="11">
        <v>46006</v>
      </c>
      <c r="C579" t="s">
        <v>874</v>
      </c>
      <c r="D579" t="s">
        <v>70</v>
      </c>
      <c r="E579" s="9">
        <v>69600</v>
      </c>
      <c r="F579" s="8"/>
      <c r="G579" s="8">
        <f t="shared" si="16"/>
        <v>33261879.730000019</v>
      </c>
      <c r="I579" s="10" t="s">
        <v>71</v>
      </c>
      <c r="J579" s="10">
        <f t="shared" si="17"/>
        <v>12</v>
      </c>
    </row>
    <row r="580" spans="1:10" x14ac:dyDescent="0.35">
      <c r="A580" s="11">
        <v>46007</v>
      </c>
      <c r="B580" s="11">
        <v>46007</v>
      </c>
      <c r="C580" t="s">
        <v>875</v>
      </c>
      <c r="D580" t="s">
        <v>876</v>
      </c>
      <c r="E580" s="8"/>
      <c r="F580" s="9">
        <v>2028125</v>
      </c>
      <c r="G580" s="8">
        <f t="shared" si="16"/>
        <v>35290004.730000019</v>
      </c>
      <c r="I580" s="10" t="s">
        <v>15</v>
      </c>
      <c r="J580" s="10">
        <f t="shared" si="17"/>
        <v>12</v>
      </c>
    </row>
    <row r="581" spans="1:10" x14ac:dyDescent="0.35">
      <c r="A581" s="11">
        <v>46007</v>
      </c>
      <c r="B581" s="11">
        <v>46007</v>
      </c>
      <c r="C581" t="s">
        <v>877</v>
      </c>
      <c r="D581" t="s">
        <v>17</v>
      </c>
      <c r="E581" s="9">
        <v>50</v>
      </c>
      <c r="F581" s="8"/>
      <c r="G581" s="8">
        <f t="shared" si="16"/>
        <v>35289954.730000019</v>
      </c>
      <c r="I581" s="10" t="s">
        <v>18</v>
      </c>
      <c r="J581" s="10">
        <f t="shared" si="17"/>
        <v>12</v>
      </c>
    </row>
    <row r="582" spans="1:10" x14ac:dyDescent="0.35">
      <c r="A582" s="11">
        <v>46008</v>
      </c>
      <c r="B582" s="11">
        <v>46008</v>
      </c>
      <c r="C582" t="s">
        <v>878</v>
      </c>
      <c r="D582" t="s">
        <v>141</v>
      </c>
      <c r="E582" s="9">
        <v>252000</v>
      </c>
      <c r="F582" s="8"/>
      <c r="G582" s="8">
        <f t="shared" ref="G582:G611" si="18">G581+F582-E582</f>
        <v>35037954.730000019</v>
      </c>
      <c r="I582" s="10" t="s">
        <v>77</v>
      </c>
      <c r="J582" s="10">
        <f t="shared" ref="J582:J611" si="19">MONTH(A582)</f>
        <v>12</v>
      </c>
    </row>
    <row r="583" spans="1:10" x14ac:dyDescent="0.35">
      <c r="A583" s="11">
        <v>46010</v>
      </c>
      <c r="B583" s="11">
        <v>46010</v>
      </c>
      <c r="C583" t="s">
        <v>879</v>
      </c>
      <c r="D583" t="s">
        <v>880</v>
      </c>
      <c r="E583" s="9">
        <v>9040000</v>
      </c>
      <c r="F583" s="8"/>
      <c r="G583" s="8">
        <f t="shared" si="18"/>
        <v>25997954.730000019</v>
      </c>
      <c r="I583" s="10" t="s">
        <v>107</v>
      </c>
      <c r="J583" s="10">
        <f t="shared" si="19"/>
        <v>12</v>
      </c>
    </row>
    <row r="584" spans="1:10" x14ac:dyDescent="0.35">
      <c r="A584" s="11">
        <v>46013</v>
      </c>
      <c r="B584" s="11">
        <v>46013</v>
      </c>
      <c r="C584" t="s">
        <v>881</v>
      </c>
      <c r="D584" t="s">
        <v>882</v>
      </c>
      <c r="E584" s="8"/>
      <c r="F584" s="9">
        <v>6976750</v>
      </c>
      <c r="G584" s="8">
        <f t="shared" si="18"/>
        <v>32974704.730000019</v>
      </c>
      <c r="I584" s="10" t="s">
        <v>15</v>
      </c>
      <c r="J584" s="10">
        <f t="shared" si="19"/>
        <v>12</v>
      </c>
    </row>
    <row r="585" spans="1:10" x14ac:dyDescent="0.35">
      <c r="A585" s="11">
        <v>46013</v>
      </c>
      <c r="B585" s="11">
        <v>46013</v>
      </c>
      <c r="C585" t="s">
        <v>883</v>
      </c>
      <c r="D585" t="s">
        <v>17</v>
      </c>
      <c r="E585" s="9">
        <v>50</v>
      </c>
      <c r="F585" s="8"/>
      <c r="G585" s="8">
        <f t="shared" si="18"/>
        <v>32974654.730000019</v>
      </c>
      <c r="I585" s="10" t="s">
        <v>18</v>
      </c>
      <c r="J585" s="10">
        <f t="shared" si="19"/>
        <v>12</v>
      </c>
    </row>
    <row r="586" spans="1:10" x14ac:dyDescent="0.35">
      <c r="A586" s="11">
        <v>46013</v>
      </c>
      <c r="B586" s="11">
        <v>46013</v>
      </c>
      <c r="C586" t="s">
        <v>884</v>
      </c>
      <c r="D586" t="s">
        <v>885</v>
      </c>
      <c r="E586" s="8"/>
      <c r="F586" s="9">
        <v>1587327.17</v>
      </c>
      <c r="G586" s="8">
        <f t="shared" si="18"/>
        <v>34561981.900000021</v>
      </c>
      <c r="I586" s="10" t="s">
        <v>27</v>
      </c>
      <c r="J586" s="10">
        <f t="shared" si="19"/>
        <v>12</v>
      </c>
    </row>
    <row r="587" spans="1:10" x14ac:dyDescent="0.35">
      <c r="A587" s="11">
        <v>46013</v>
      </c>
      <c r="B587" s="11">
        <v>46013</v>
      </c>
      <c r="C587" t="s">
        <v>886</v>
      </c>
      <c r="D587" t="s">
        <v>17</v>
      </c>
      <c r="E587" s="9">
        <v>50</v>
      </c>
      <c r="F587" s="8"/>
      <c r="G587" s="8">
        <f t="shared" si="18"/>
        <v>34561931.900000021</v>
      </c>
      <c r="I587" s="10" t="s">
        <v>18</v>
      </c>
      <c r="J587" s="10">
        <f t="shared" si="19"/>
        <v>12</v>
      </c>
    </row>
    <row r="588" spans="1:10" x14ac:dyDescent="0.35">
      <c r="A588" s="11">
        <v>46013</v>
      </c>
      <c r="B588" s="11">
        <v>46013</v>
      </c>
      <c r="C588" t="s">
        <v>887</v>
      </c>
      <c r="D588" t="s">
        <v>888</v>
      </c>
      <c r="E588" s="9">
        <v>4088500</v>
      </c>
      <c r="F588" s="8"/>
      <c r="G588" s="8">
        <f t="shared" si="18"/>
        <v>30473431.900000021</v>
      </c>
      <c r="I588" s="10" t="s">
        <v>37</v>
      </c>
      <c r="J588" s="10">
        <f t="shared" si="19"/>
        <v>12</v>
      </c>
    </row>
    <row r="589" spans="1:10" x14ac:dyDescent="0.35">
      <c r="A589" s="11">
        <v>46013</v>
      </c>
      <c r="B589" s="11">
        <v>46013</v>
      </c>
      <c r="C589" t="s">
        <v>889</v>
      </c>
      <c r="D589" t="s">
        <v>890</v>
      </c>
      <c r="E589" s="9">
        <v>3211000</v>
      </c>
      <c r="F589" s="8"/>
      <c r="G589" s="8">
        <f t="shared" si="18"/>
        <v>27262431.900000021</v>
      </c>
      <c r="I589" s="10" t="s">
        <v>37</v>
      </c>
      <c r="J589" s="10">
        <f t="shared" si="19"/>
        <v>12</v>
      </c>
    </row>
    <row r="590" spans="1:10" x14ac:dyDescent="0.35">
      <c r="A590" s="11">
        <v>46013</v>
      </c>
      <c r="B590" s="11">
        <v>46013</v>
      </c>
      <c r="C590" t="s">
        <v>891</v>
      </c>
      <c r="D590" t="s">
        <v>85</v>
      </c>
      <c r="E590" s="9">
        <v>2006600</v>
      </c>
      <c r="F590" s="8"/>
      <c r="G590" s="8">
        <f t="shared" si="18"/>
        <v>25255831.900000021</v>
      </c>
      <c r="I590" s="10" t="s">
        <v>86</v>
      </c>
      <c r="J590" s="10">
        <f t="shared" si="19"/>
        <v>12</v>
      </c>
    </row>
    <row r="591" spans="1:10" x14ac:dyDescent="0.35">
      <c r="A591" s="11">
        <v>46013</v>
      </c>
      <c r="B591" s="11">
        <v>46013</v>
      </c>
      <c r="C591" t="s">
        <v>892</v>
      </c>
      <c r="D591" t="s">
        <v>245</v>
      </c>
      <c r="E591" s="9">
        <v>450000</v>
      </c>
      <c r="F591" s="8"/>
      <c r="G591" s="8">
        <f t="shared" si="18"/>
        <v>24805831.900000021</v>
      </c>
      <c r="I591" s="10" t="s">
        <v>246</v>
      </c>
      <c r="J591" s="10">
        <f t="shared" si="19"/>
        <v>12</v>
      </c>
    </row>
    <row r="592" spans="1:10" x14ac:dyDescent="0.35">
      <c r="A592" s="11">
        <v>46015</v>
      </c>
      <c r="B592" s="11">
        <v>46015</v>
      </c>
      <c r="C592" t="s">
        <v>893</v>
      </c>
      <c r="D592" t="s">
        <v>894</v>
      </c>
      <c r="E592" s="8"/>
      <c r="F592" s="9">
        <v>4586750</v>
      </c>
      <c r="G592" s="8">
        <f t="shared" si="18"/>
        <v>29392581.900000021</v>
      </c>
      <c r="I592" s="10" t="s">
        <v>15</v>
      </c>
      <c r="J592" s="10">
        <f t="shared" si="19"/>
        <v>12</v>
      </c>
    </row>
    <row r="593" spans="1:10" x14ac:dyDescent="0.35">
      <c r="A593" s="11">
        <v>46015</v>
      </c>
      <c r="B593" s="11">
        <v>46015</v>
      </c>
      <c r="C593" t="s">
        <v>895</v>
      </c>
      <c r="D593" t="s">
        <v>17</v>
      </c>
      <c r="E593" s="9">
        <v>50</v>
      </c>
      <c r="F593" s="8"/>
      <c r="G593" s="8">
        <f t="shared" si="18"/>
        <v>29392531.900000021</v>
      </c>
      <c r="I593" s="10" t="s">
        <v>18</v>
      </c>
      <c r="J593" s="10">
        <f t="shared" si="19"/>
        <v>12</v>
      </c>
    </row>
    <row r="594" spans="1:10" x14ac:dyDescent="0.35">
      <c r="A594" s="11">
        <v>46015</v>
      </c>
      <c r="B594" s="11">
        <v>46015</v>
      </c>
      <c r="C594" t="s">
        <v>896</v>
      </c>
      <c r="D594" t="s">
        <v>897</v>
      </c>
      <c r="E594" s="8"/>
      <c r="F594" s="9">
        <v>2045000</v>
      </c>
      <c r="G594" s="8">
        <f t="shared" si="18"/>
        <v>31437531.900000021</v>
      </c>
      <c r="I594" s="10" t="s">
        <v>15</v>
      </c>
      <c r="J594" s="10">
        <f t="shared" si="19"/>
        <v>12</v>
      </c>
    </row>
    <row r="595" spans="1:10" x14ac:dyDescent="0.35">
      <c r="A595" s="11">
        <v>46015</v>
      </c>
      <c r="B595" s="11">
        <v>46015</v>
      </c>
      <c r="C595" t="s">
        <v>898</v>
      </c>
      <c r="D595" t="s">
        <v>17</v>
      </c>
      <c r="E595" s="9">
        <v>50</v>
      </c>
      <c r="F595" s="8"/>
      <c r="G595" s="8">
        <f t="shared" si="18"/>
        <v>31437481.900000021</v>
      </c>
      <c r="I595" s="10" t="s">
        <v>18</v>
      </c>
      <c r="J595" s="10">
        <f t="shared" si="19"/>
        <v>12</v>
      </c>
    </row>
    <row r="596" spans="1:10" x14ac:dyDescent="0.35">
      <c r="A596" s="11">
        <v>46015</v>
      </c>
      <c r="B596" s="11">
        <v>46015</v>
      </c>
      <c r="C596" t="s">
        <v>899</v>
      </c>
      <c r="D596" t="s">
        <v>62</v>
      </c>
      <c r="E596" s="9">
        <v>910000</v>
      </c>
      <c r="F596" s="8"/>
      <c r="G596" s="8">
        <f t="shared" si="18"/>
        <v>30527481.900000021</v>
      </c>
      <c r="I596" s="10" t="s">
        <v>63</v>
      </c>
      <c r="J596" s="10">
        <f t="shared" si="19"/>
        <v>12</v>
      </c>
    </row>
    <row r="597" spans="1:10" x14ac:dyDescent="0.35">
      <c r="A597" s="11">
        <v>46016</v>
      </c>
      <c r="B597" s="11">
        <v>46016</v>
      </c>
      <c r="C597" t="s">
        <v>900</v>
      </c>
      <c r="D597" t="s">
        <v>901</v>
      </c>
      <c r="E597" s="8"/>
      <c r="F597" s="9">
        <v>2028125</v>
      </c>
      <c r="G597" s="8">
        <f t="shared" si="18"/>
        <v>32555606.900000021</v>
      </c>
      <c r="I597" s="10" t="s">
        <v>15</v>
      </c>
      <c r="J597" s="10">
        <f t="shared" si="19"/>
        <v>12</v>
      </c>
    </row>
    <row r="598" spans="1:10" x14ac:dyDescent="0.35">
      <c r="A598" s="11">
        <v>46016</v>
      </c>
      <c r="B598" s="11">
        <v>46016</v>
      </c>
      <c r="C598" t="s">
        <v>902</v>
      </c>
      <c r="D598" t="s">
        <v>17</v>
      </c>
      <c r="E598" s="9">
        <v>50</v>
      </c>
      <c r="F598" s="8"/>
      <c r="G598" s="8">
        <f t="shared" si="18"/>
        <v>32555556.900000021</v>
      </c>
      <c r="I598" s="10" t="s">
        <v>18</v>
      </c>
      <c r="J598" s="10">
        <f t="shared" si="19"/>
        <v>12</v>
      </c>
    </row>
    <row r="599" spans="1:10" x14ac:dyDescent="0.35">
      <c r="A599" s="11">
        <v>46017</v>
      </c>
      <c r="B599" s="11">
        <v>46017</v>
      </c>
      <c r="C599" t="s">
        <v>903</v>
      </c>
      <c r="D599" t="s">
        <v>100</v>
      </c>
      <c r="E599" s="9">
        <v>197000</v>
      </c>
      <c r="F599" s="8"/>
      <c r="G599" s="8">
        <f t="shared" si="18"/>
        <v>32358556.900000021</v>
      </c>
      <c r="I599" s="10" t="s">
        <v>101</v>
      </c>
      <c r="J599" s="10">
        <f t="shared" si="19"/>
        <v>12</v>
      </c>
    </row>
    <row r="600" spans="1:10" x14ac:dyDescent="0.35">
      <c r="A600" s="11">
        <v>46020</v>
      </c>
      <c r="B600" s="11">
        <v>46020</v>
      </c>
      <c r="C600" t="s">
        <v>904</v>
      </c>
      <c r="D600" t="s">
        <v>905</v>
      </c>
      <c r="E600" s="8"/>
      <c r="F600" s="9">
        <v>3876500</v>
      </c>
      <c r="G600" s="8">
        <f t="shared" si="18"/>
        <v>36235056.900000021</v>
      </c>
      <c r="I600" s="10" t="s">
        <v>15</v>
      </c>
      <c r="J600" s="10">
        <f t="shared" si="19"/>
        <v>12</v>
      </c>
    </row>
    <row r="601" spans="1:10" x14ac:dyDescent="0.35">
      <c r="A601" s="11">
        <v>46020</v>
      </c>
      <c r="B601" s="11">
        <v>46020</v>
      </c>
      <c r="C601" t="s">
        <v>906</v>
      </c>
      <c r="D601" t="s">
        <v>17</v>
      </c>
      <c r="E601" s="9">
        <v>50</v>
      </c>
      <c r="F601" s="8"/>
      <c r="G601" s="8">
        <f t="shared" si="18"/>
        <v>36235006.900000021</v>
      </c>
      <c r="I601" s="10" t="s">
        <v>18</v>
      </c>
      <c r="J601" s="10">
        <f t="shared" si="19"/>
        <v>12</v>
      </c>
    </row>
    <row r="602" spans="1:10" x14ac:dyDescent="0.35">
      <c r="A602" s="11">
        <v>46020</v>
      </c>
      <c r="B602" s="11">
        <v>46020</v>
      </c>
      <c r="C602" t="s">
        <v>907</v>
      </c>
      <c r="D602" t="s">
        <v>908</v>
      </c>
      <c r="E602" s="8"/>
      <c r="F602" s="9">
        <v>2045000</v>
      </c>
      <c r="G602" s="8">
        <f t="shared" si="18"/>
        <v>38280006.900000021</v>
      </c>
      <c r="I602" s="10" t="s">
        <v>15</v>
      </c>
      <c r="J602" s="10">
        <f t="shared" si="19"/>
        <v>12</v>
      </c>
    </row>
    <row r="603" spans="1:10" x14ac:dyDescent="0.35">
      <c r="A603" s="11">
        <v>46020</v>
      </c>
      <c r="B603" s="11">
        <v>46020</v>
      </c>
      <c r="C603" t="s">
        <v>909</v>
      </c>
      <c r="D603" t="s">
        <v>17</v>
      </c>
      <c r="E603" s="9">
        <v>50</v>
      </c>
      <c r="F603" s="8"/>
      <c r="G603" s="8">
        <f t="shared" si="18"/>
        <v>38279956.900000021</v>
      </c>
      <c r="I603" s="10" t="s">
        <v>18</v>
      </c>
      <c r="J603" s="10">
        <f t="shared" si="19"/>
        <v>12</v>
      </c>
    </row>
    <row r="604" spans="1:10" x14ac:dyDescent="0.35">
      <c r="A604" s="11">
        <v>46020</v>
      </c>
      <c r="B604" s="11">
        <v>46020</v>
      </c>
      <c r="C604" t="s">
        <v>910</v>
      </c>
      <c r="D604" t="s">
        <v>911</v>
      </c>
      <c r="E604" s="8"/>
      <c r="F604" s="9">
        <v>1706624.07</v>
      </c>
      <c r="G604" s="8">
        <f t="shared" si="18"/>
        <v>39986580.970000021</v>
      </c>
      <c r="I604" s="10" t="s">
        <v>27</v>
      </c>
      <c r="J604" s="10">
        <f t="shared" si="19"/>
        <v>12</v>
      </c>
    </row>
    <row r="605" spans="1:10" x14ac:dyDescent="0.35">
      <c r="A605" s="11">
        <v>46020</v>
      </c>
      <c r="B605" s="11">
        <v>46020</v>
      </c>
      <c r="C605" t="s">
        <v>912</v>
      </c>
      <c r="D605" t="s">
        <v>17</v>
      </c>
      <c r="E605" s="9">
        <v>50</v>
      </c>
      <c r="F605" s="8"/>
      <c r="G605" s="8">
        <f t="shared" si="18"/>
        <v>39986530.970000021</v>
      </c>
      <c r="I605" s="10" t="s">
        <v>18</v>
      </c>
      <c r="J605" s="10">
        <f t="shared" si="19"/>
        <v>12</v>
      </c>
    </row>
    <row r="606" spans="1:10" x14ac:dyDescent="0.35">
      <c r="A606" s="11">
        <v>46021</v>
      </c>
      <c r="B606" s="11">
        <v>46021</v>
      </c>
      <c r="C606" t="s">
        <v>913</v>
      </c>
      <c r="D606" t="s">
        <v>266</v>
      </c>
      <c r="E606" s="8"/>
      <c r="F606" s="9">
        <v>11114.83</v>
      </c>
      <c r="G606" s="8">
        <f t="shared" si="18"/>
        <v>39997645.800000019</v>
      </c>
      <c r="I606" s="10" t="s">
        <v>267</v>
      </c>
      <c r="J606" s="10">
        <f t="shared" si="19"/>
        <v>12</v>
      </c>
    </row>
    <row r="607" spans="1:10" x14ac:dyDescent="0.35">
      <c r="A607" s="11">
        <v>46021</v>
      </c>
      <c r="B607" s="11">
        <v>46021</v>
      </c>
      <c r="C607" t="s">
        <v>914</v>
      </c>
      <c r="D607" t="s">
        <v>17</v>
      </c>
      <c r="E607" s="9">
        <v>50</v>
      </c>
      <c r="F607" s="8"/>
      <c r="G607" s="8">
        <f t="shared" si="18"/>
        <v>39997595.800000019</v>
      </c>
      <c r="I607" s="10" t="s">
        <v>18</v>
      </c>
      <c r="J607" s="10">
        <f t="shared" si="19"/>
        <v>12</v>
      </c>
    </row>
    <row r="608" spans="1:10" x14ac:dyDescent="0.35">
      <c r="A608" s="11">
        <v>46022</v>
      </c>
      <c r="B608" s="11">
        <v>46022</v>
      </c>
      <c r="C608" t="s">
        <v>915</v>
      </c>
      <c r="D608" t="s">
        <v>113</v>
      </c>
      <c r="E608" s="9">
        <v>12769.14</v>
      </c>
      <c r="F608" s="8"/>
      <c r="G608" s="8">
        <f t="shared" si="18"/>
        <v>39984826.660000019</v>
      </c>
      <c r="I608" s="10" t="s">
        <v>114</v>
      </c>
      <c r="J608" s="10">
        <f t="shared" si="19"/>
        <v>12</v>
      </c>
    </row>
    <row r="609" spans="1:10" x14ac:dyDescent="0.35">
      <c r="A609" s="11">
        <v>46022</v>
      </c>
      <c r="B609" s="11">
        <v>46022</v>
      </c>
      <c r="C609" t="s">
        <v>916</v>
      </c>
      <c r="D609" t="s">
        <v>116</v>
      </c>
      <c r="E609" s="9">
        <v>1750</v>
      </c>
      <c r="F609" s="8"/>
      <c r="G609" s="8">
        <f t="shared" si="18"/>
        <v>39983076.660000019</v>
      </c>
      <c r="I609" s="10" t="s">
        <v>117</v>
      </c>
      <c r="J609" s="10">
        <f t="shared" si="19"/>
        <v>12</v>
      </c>
    </row>
    <row r="610" spans="1:10" x14ac:dyDescent="0.35">
      <c r="A610" s="11">
        <v>46022</v>
      </c>
      <c r="B610" s="11">
        <v>46022</v>
      </c>
      <c r="C610" t="s">
        <v>917</v>
      </c>
      <c r="D610" t="s">
        <v>119</v>
      </c>
      <c r="E610" s="9">
        <v>140</v>
      </c>
      <c r="F610" s="8"/>
      <c r="G610" s="8">
        <f t="shared" si="18"/>
        <v>39982936.660000019</v>
      </c>
      <c r="I610" s="10" t="s">
        <v>120</v>
      </c>
      <c r="J610" s="10">
        <f t="shared" si="19"/>
        <v>12</v>
      </c>
    </row>
    <row r="611" spans="1:10" x14ac:dyDescent="0.35">
      <c r="A611" s="11">
        <v>46022</v>
      </c>
      <c r="B611" s="11">
        <v>46022</v>
      </c>
      <c r="C611" t="s">
        <v>918</v>
      </c>
      <c r="D611" t="s">
        <v>122</v>
      </c>
      <c r="E611" s="9">
        <v>141.75</v>
      </c>
      <c r="F611" s="8"/>
      <c r="G611" s="8">
        <f t="shared" si="18"/>
        <v>39982794.910000019</v>
      </c>
      <c r="I611" s="10" t="s">
        <v>123</v>
      </c>
      <c r="J611" s="10">
        <f t="shared" si="19"/>
        <v>12</v>
      </c>
    </row>
    <row r="613" spans="1:10" ht="15" thickBot="1" x14ac:dyDescent="0.4">
      <c r="D613" s="7" t="s">
        <v>919</v>
      </c>
      <c r="E613" s="12">
        <f>SUM(E6:E611)</f>
        <v>417061478.77000004</v>
      </c>
      <c r="F613" s="12">
        <f>SUM(F6:F611)</f>
        <v>435694273.67999989</v>
      </c>
      <c r="G613" s="12">
        <f>G611</f>
        <v>39982794.910000019</v>
      </c>
    </row>
    <row r="614" spans="1:10" ht="15" thickTop="1" x14ac:dyDescent="0.35">
      <c r="D614" s="13" t="s">
        <v>920</v>
      </c>
      <c r="G614" s="8">
        <f>ROUND(G5+F613-E613-G613,2)</f>
        <v>0</v>
      </c>
    </row>
  </sheetData>
  <autoFilter ref="A4:J61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Fortunate Asevameh</dc:creator>
  <cp:lastModifiedBy>Fortunate Asevameh</cp:lastModifiedBy>
  <dcterms:created xsi:type="dcterms:W3CDTF">2026-10-21T01:43:11Z</dcterms:created>
  <dcterms:modified xsi:type="dcterms:W3CDTF">2026-10-21T01:44:48Z</dcterms:modified>
</cp:coreProperties>
</file>