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Bank Statement" sheetId="2" state="visible" r:id="rId4"/>
    <sheet name="Cash Book" sheetId="3" state="visible" r:id="rId5"/>
    <sheet name="Answer Key" sheetId="4" state="visible" r:id="rId6"/>
    <sheet name="Recon Exceptions" sheetId="5" state="visible" r:id="rId7"/>
    <sheet name="Bank Rec" sheetId="6" state="visible" r:id="rId8"/>
    <sheet name="Loan Schedule" sheetId="7" state="visible" r:id="rId9"/>
    <sheet name="Monthly Summary" sheetId="8" state="visible" r:id="rId10"/>
  </sheets>
  <definedNames>
    <definedName function="false" hidden="true" localSheetId="3" name="_xlnm._FilterDatabase" vbProcedure="false">'Answer Key'!$A$4:$N$577</definedName>
    <definedName function="false" hidden="true" localSheetId="4" name="_xlnm._FilterDatabase" vbProcedure="false">'Recon Exceptions'!$A$4:$K$54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<sst xmlns="http://schemas.openxmlformats.org/spreadsheetml/2006/main" count="7075" uniqueCount="2137">
  <si>
    <t xml:space="preserve">BANK STATEMENT &amp; RECONCILIATION DATASET - FY 2025</t>
  </si>
  <si>
    <t xml:space="preserve">Project: Transaction Classification &amp; Reconciliation Solution for Businesses</t>
  </si>
  <si>
    <t xml:space="preserve">IMPORTANT: ALL DATA IS FICTIONAL. Company, bank, account number, people and amounts are invented for study and testing only.</t>
  </si>
  <si>
    <t xml:space="preserve">Company profile</t>
  </si>
  <si>
    <t xml:space="preserve">Name: Lagosmart Distribution Ltd (fictional)  |  Business: wholesale &amp; retail distribution of packaged goods, Lagos</t>
  </si>
  <si>
    <t xml:space="preserve">Bank: Sample Commercial Bank Plc (fictional)  |  Account: Current Account, NGN, No. 0123456789 (fictional)</t>
  </si>
  <si>
    <t xml:space="preserve">Period: 1 January 2025 - 31 December 2025  |  Opening balance: N12,500,000.00 (assumed reconciled at 1 Jan 2025)</t>
  </si>
  <si>
    <t xml:space="preserve">Sheets</t>
  </si>
  <si>
    <t xml:space="preserve">1. Bank Statement - what the bank shows (the raw input to your classifier). Running balance is a formula.</t>
  </si>
  <si>
    <t xml:space="preserve">2. Cash Book - the company's own ledger of cash (the second input to your reconciliation engine).</t>
  </si>
  <si>
    <t xml:space="preserve">3. Answer Key - ground-truth category, FS class, clarity flag and reconciliation status for every bank line. Use it to train / score your classifier.</t>
  </si>
  <si>
    <t xml:space="preserve">4. Recon Exceptions - every reconciling item between bank and cash book, with its effect on the adjusted balance.</t>
  </si>
  <si>
    <t xml:space="preserve">5. Bank Rec - 31 Dec 2025 bank reconciliation statement (all formulas; check cell must be zero).</t>
  </si>
  <si>
    <t xml:space="preserve">6. Monthly Summary - cash receipts and payments by category and month, plus cash-flow classes (Operating / Investing / Financing).</t>
  </si>
  <si>
    <t xml:space="preserve">7. Loan Schedule - amortisation of the N20m term loan, to split repayments into principal and interest and to size current vs non-current debt.</t>
  </si>
  <si>
    <t xml:space="preserve">Why the data is "complicated" (built-in challenges)</t>
  </si>
  <si>
    <t xml:space="preserve">- Unclear transactions: individual senders/payees, generic narrations (e.g. "MOB TRF-DR-8890121"), cash deposits with no payer. Flagged "Unclear" in the Answer Key.</t>
  </si>
  <si>
    <t xml:space="preserve">- Ambiguous transactions: plausible under 2+ categories (capital vs director loan, drawings vs expense, FX purchase vs import cost, own-account transfers, supplier refund vs sale).</t>
  </si>
  <si>
    <t xml:space="preserve">- Aggregated bank items: monthly charges posted as 5 lines in the bank but 1 line in the books; stamp duty counted per receipt.</t>
  </si>
  <si>
    <t xml:space="preserve">- 1-to-many and many-to-1 matches: two bank credits settle one invoice; one bank payment settles two invoices.</t>
  </si>
  <si>
    <t xml:space="preserve">- Timing differences: cheques booked in one month but cleared the next; year-end deposits in transit and outstanding cheques.</t>
  </si>
  <si>
    <t xml:space="preserve">- Errors: transposed amounts (receipt and payment), a duplicate cash book entry, a bank duplicate debit and its reversal, a dishonoured cheque.</t>
  </si>
  <si>
    <t xml:space="preserve">- Bank-only items: interest, charges, FX commission, loan direct debits not yet in the books.</t>
  </si>
  <si>
    <t xml:space="preserve">- Accounting traps: annual rent and insurance paid upfront (prepayments), prior-year CIT paid, capital items (generator, van), VAT/PAYE/pension remitted on prior month, 13th-month bonus, loan fees.</t>
  </si>
  <si>
    <t xml:space="preserve">Assumptions</t>
  </si>
  <si>
    <t xml:space="preserve">- Stamp duty N50 per electronic receipt of N10,000 or more; VAT on bank charges 7.5%; NIP fee approximated at N50 per outgoing transfer. Bank charge amounts are illustrative.</t>
  </si>
  <si>
    <t xml:space="preserve">- Loan: N20,000,000 received 10-Mar-2025, 24 equal monthly instalments from 10-Apr-2025 at 24% p.a.; 1% management fee plus VAT paid at drawdown.</t>
  </si>
  <si>
    <t xml:space="preserve">- VAT remittance is shown as an approximate net amount after input VAT. Payroll: gross N4.6m/month (N4.97m from July).</t>
  </si>
  <si>
    <t xml:space="preserve">- Weekends/public holidays are not modelled in detail; posting dates fall on business days.</t>
  </si>
  <si>
    <t xml:space="preserve">SAMPLE COMMERCIAL BANK PLC</t>
  </si>
  <si>
    <t xml:space="preserve">STATEMENT OF ACCOUNT (FICTIONAL - FOR STUDY USE ONLY)</t>
  </si>
  <si>
    <t xml:space="preserve">Account Name</t>
  </si>
  <si>
    <t xml:space="preserve">LAGOSMART DISTRIBUTION LTD</t>
  </si>
  <si>
    <t xml:space="preserve">Opening Balance</t>
  </si>
  <si>
    <t xml:space="preserve">Account Number</t>
  </si>
  <si>
    <t xml:space="preserve">0123456789</t>
  </si>
  <si>
    <t xml:space="preserve">Closing Balance</t>
  </si>
  <si>
    <t xml:space="preserve">Account Type / Currency</t>
  </si>
  <si>
    <t xml:space="preserve">CURRENT / NGN</t>
  </si>
  <si>
    <t xml:space="preserve">Statement Period</t>
  </si>
  <si>
    <t xml:space="preserve">01-Jan-2025 to 31-Dec-2025</t>
  </si>
  <si>
    <t xml:space="preserve">S/N</t>
  </si>
  <si>
    <t xml:space="preserve">Trans Date</t>
  </si>
  <si>
    <t xml:space="preserve">Value Date</t>
  </si>
  <si>
    <t xml:space="preserve">Reference</t>
  </si>
  <si>
    <t xml:space="preserve">Narration</t>
  </si>
  <si>
    <t xml:space="preserve">Debit (NGN)</t>
  </si>
  <si>
    <t xml:space="preserve">Credit (NGN)</t>
  </si>
  <si>
    <t xml:space="preserve">Balance (NGN)</t>
  </si>
  <si>
    <t xml:space="preserve">NIP250102268377</t>
  </si>
  <si>
    <t xml:space="preserve">NIP TRF FROM DELTA FRESH MART/INV 1051</t>
  </si>
  <si>
    <t xml:space="preserve">NIP250106836615</t>
  </si>
  <si>
    <t xml:space="preserve">NIP TRF FROM KANO WHOLESALE HUB/INV 1049</t>
  </si>
  <si>
    <t xml:space="preserve">NIP250106512077</t>
  </si>
  <si>
    <t xml:space="preserve">NIP TRF FROM BRIGHTWAY SCHOOLS/INV 1067</t>
  </si>
  <si>
    <t xml:space="preserve">NIP250106917411</t>
  </si>
  <si>
    <t xml:space="preserve">NIP TRF FROM DELTA FRESH MART/INV 1068</t>
  </si>
  <si>
    <t xml:space="preserve">POS250106543421</t>
  </si>
  <si>
    <t xml:space="preserve">POS SETTLEMENT MID 20517028 0601</t>
  </si>
  <si>
    <t xml:space="preserve">FT250106618382</t>
  </si>
  <si>
    <t xml:space="preserve">BROADBAND SUBSCRIPTION INV 64894</t>
  </si>
  <si>
    <t xml:space="preserve">NIP250106827822</t>
  </si>
  <si>
    <t xml:space="preserve">NIP TRF TO ADELEKE PROPERTIES LTD/RENT WAREHOUSE 2025</t>
  </si>
  <si>
    <t xml:space="preserve">NIP250108413860</t>
  </si>
  <si>
    <t xml:space="preserve">NIP TRF FROM GREENFIELD STORES LTD/INV 1079</t>
  </si>
  <si>
    <t xml:space="preserve">NIP250108593382</t>
  </si>
  <si>
    <t xml:space="preserve">NIP TRF TO LEKKI PLAZA MGT/SHOP RENT Q1</t>
  </si>
  <si>
    <t xml:space="preserve">FT250109030935</t>
  </si>
  <si>
    <t xml:space="preserve">ONLINE GATEWAY SETTLEMENT BATCH 52482</t>
  </si>
  <si>
    <t xml:space="preserve">POS250109928097</t>
  </si>
  <si>
    <t xml:space="preserve">POS PURCHASE - PETRO STATION 1010 IKEJA</t>
  </si>
  <si>
    <t xml:space="preserve">CSH250110300757</t>
  </si>
  <si>
    <t xml:space="preserve">CDM DEPOSIT 9912</t>
  </si>
  <si>
    <t xml:space="preserve">FT250110801698</t>
  </si>
  <si>
    <t xml:space="preserve">LIRS PAYE REMITTANCE RRR 9603333279 DEC 2024</t>
  </si>
  <si>
    <t xml:space="preserve">NIP250113396098</t>
  </si>
  <si>
    <t xml:space="preserve">NIP TRF FROM PRIME HOSPITALITY LTD/INV 1077</t>
  </si>
  <si>
    <t xml:space="preserve">POS250113781580</t>
  </si>
  <si>
    <t xml:space="preserve">POS SETTLEMENT MID 20518546 1301</t>
  </si>
  <si>
    <t xml:space="preserve">NIP250113450760</t>
  </si>
  <si>
    <t xml:space="preserve">NIP TRF TO KEMI PLASTICS LTD/INV 4403</t>
  </si>
  <si>
    <t xml:space="preserve">NIP250113056806</t>
  </si>
  <si>
    <t xml:space="preserve">NIP TRF TO KEMI PLASTICS LTD/INV 4421</t>
  </si>
  <si>
    <t xml:space="preserve">POS250113519505</t>
  </si>
  <si>
    <t xml:space="preserve">POS PURCHASE - PETRO STATION 1743 IKEJA</t>
  </si>
  <si>
    <t xml:space="preserve">POS250113672851</t>
  </si>
  <si>
    <t xml:space="preserve">POS PURCHASE - OFFICE STATIONERY 414</t>
  </si>
  <si>
    <t xml:space="preserve">NIP250114709626</t>
  </si>
  <si>
    <t xml:space="preserve">NIP TRF FROM DELTA FRESH MART/INV 1058</t>
  </si>
  <si>
    <t xml:space="preserve">NIP250114565827</t>
  </si>
  <si>
    <t xml:space="preserve">NIP TRF TO PINNACLE PACKAGING LTD/INV 4406</t>
  </si>
  <si>
    <t xml:space="preserve">NIP250114248265</t>
  </si>
  <si>
    <t xml:space="preserve">NIP TRF TO UNITY CHEMICALS LTD/INV 4412</t>
  </si>
  <si>
    <t xml:space="preserve">POS250114207091</t>
  </si>
  <si>
    <t xml:space="preserve">INTL POS - SOCIAL MEDIA ADS USD 135</t>
  </si>
  <si>
    <t xml:space="preserve">CSH250115424772</t>
  </si>
  <si>
    <t xml:space="preserve">CDM DEPOSIT 8071</t>
  </si>
  <si>
    <t xml:space="preserve">FT250115753949</t>
  </si>
  <si>
    <t xml:space="preserve">PFA PENSION CONTRIBUTION DEC 2024 BULK</t>
  </si>
  <si>
    <t xml:space="preserve">POS250120005353</t>
  </si>
  <si>
    <t xml:space="preserve">POS SETTLEMENT MID 20518254 2001</t>
  </si>
  <si>
    <t xml:space="preserve">NIP250120242135</t>
  </si>
  <si>
    <t xml:space="preserve">NIP TRF TO ZENITH CRATES &amp; PALLETS/INV 4407</t>
  </si>
  <si>
    <t xml:space="preserve">NIP250120226551</t>
  </si>
  <si>
    <t xml:space="preserve">NIP TRF TO PINNACLE PACKAGING LTD/INV 4416</t>
  </si>
  <si>
    <t xml:space="preserve">FT250120353512</t>
  </si>
  <si>
    <t xml:space="preserve">POWER DISCO PREPAID VEND MTR 4521256</t>
  </si>
  <si>
    <t xml:space="preserve">NIP250120850382</t>
  </si>
  <si>
    <t xml:space="preserve">NIP TRF TO BRIGHTPRINT MEDIA/FLYERS 629</t>
  </si>
  <si>
    <t xml:space="preserve">CSH250121214141</t>
  </si>
  <si>
    <t xml:space="preserve">CDM DEPOSIT 6427</t>
  </si>
  <si>
    <t xml:space="preserve">FT250121705372</t>
  </si>
  <si>
    <t xml:space="preserve">FIRS VAT REMITTANCE RRR 2480196322 DEC 2024</t>
  </si>
  <si>
    <t xml:space="preserve">FT250122855795</t>
  </si>
  <si>
    <t xml:space="preserve">FIRS WHT REMITTANCE RRR 3542552639</t>
  </si>
  <si>
    <t xml:space="preserve">FT250123403934</t>
  </si>
  <si>
    <t xml:space="preserve">ONLINE GATEWAY SETTLEMENT BATCH 79677</t>
  </si>
  <si>
    <t xml:space="preserve">POS250123644785</t>
  </si>
  <si>
    <t xml:space="preserve">POS PURCHASE - PETRO STATION 1670 IKEJA</t>
  </si>
  <si>
    <t xml:space="preserve">FT250124165287</t>
  </si>
  <si>
    <t xml:space="preserve">TRF FRM IBRAHIM K./PAYMENT</t>
  </si>
  <si>
    <t xml:space="preserve">CHQ250124203381</t>
  </si>
  <si>
    <t xml:space="preserve">CASH WITHDRAWAL - CHQ 004511</t>
  </si>
  <si>
    <t xml:space="preserve">CHQ250124203626</t>
  </si>
  <si>
    <t xml:space="preserve">CASH WITHDRAWAL - CHQ 004512</t>
  </si>
  <si>
    <t xml:space="preserve">POS250127419421</t>
  </si>
  <si>
    <t xml:space="preserve">POS SETTLEMENT MID 20513884 2701</t>
  </si>
  <si>
    <t xml:space="preserve">FT250127057465</t>
  </si>
  <si>
    <t xml:space="preserve">BULK PAYMENT - STAFF SALARIES JAN 2025</t>
  </si>
  <si>
    <t xml:space="preserve">FT250127719679</t>
  </si>
  <si>
    <t xml:space="preserve">POWER DISCO PREPAID VEND MTR 4521288</t>
  </si>
  <si>
    <t xml:space="preserve">POS250127125072</t>
  </si>
  <si>
    <t xml:space="preserve">POS PURCHASE - PETRO STATION 1721 IKEJA</t>
  </si>
  <si>
    <t xml:space="preserve">FT250131291697</t>
  </si>
  <si>
    <t xml:space="preserve">ACCOUNT MAINTENANCE FEE JAN 2025</t>
  </si>
  <si>
    <t xml:space="preserve">FT250131221886</t>
  </si>
  <si>
    <t xml:space="preserve">SMS ALERT CHARGES</t>
  </si>
  <si>
    <t xml:space="preserve">NIP250131354496</t>
  </si>
  <si>
    <t xml:space="preserve">NIP TRANSFER FEES (9 TXNS)</t>
  </si>
  <si>
    <t xml:space="preserve">FT250131882346</t>
  </si>
  <si>
    <t xml:space="preserve">VAT ON BANK CHARGES 7.5%</t>
  </si>
  <si>
    <t xml:space="preserve">FT250131607828</t>
  </si>
  <si>
    <t xml:space="preserve">STAMP DUTY ON 17 ELECTRONIC RECEIPTS</t>
  </si>
  <si>
    <t xml:space="preserve">FT250203080508</t>
  </si>
  <si>
    <t xml:space="preserve">POWER DISCO PREPAID VEND MTR 4521528</t>
  </si>
  <si>
    <t xml:space="preserve">CSH250204843222</t>
  </si>
  <si>
    <t xml:space="preserve">CASH DEPOSIT - COUNTER BRANCH 014</t>
  </si>
  <si>
    <t xml:space="preserve">NIP250205595086</t>
  </si>
  <si>
    <t xml:space="preserve">NIP TRF FROM ABUJA CATERING SERVICES/INV 1082</t>
  </si>
  <si>
    <t xml:space="preserve">FT250205793851</t>
  </si>
  <si>
    <t xml:space="preserve">BROADBAND SUBSCRIPTION INV 82604</t>
  </si>
  <si>
    <t xml:space="preserve">POS250206001669</t>
  </si>
  <si>
    <t xml:space="preserve">POS SETTLEMENT MID 20511893 0602</t>
  </si>
  <si>
    <t xml:space="preserve">NIP250207360404</t>
  </si>
  <si>
    <t xml:space="preserve">NIP TRF TO GOLDEN HARVEST FOODS LTD/INV 4429</t>
  </si>
  <si>
    <t xml:space="preserve">FT250210339182</t>
  </si>
  <si>
    <t xml:space="preserve">TRF FRM A. YUSUF/PAYMENT</t>
  </si>
  <si>
    <t xml:space="preserve">NIP250210745792</t>
  </si>
  <si>
    <t xml:space="preserve">NIP TRF FROM DELTA FRESH MART/INV 1095</t>
  </si>
  <si>
    <t xml:space="preserve">NIP250210611547</t>
  </si>
  <si>
    <t xml:space="preserve">NIP TRF FROM SUNRISE PHARMA LTD/INV 1112</t>
  </si>
  <si>
    <t xml:space="preserve">FT250210388066</t>
  </si>
  <si>
    <t xml:space="preserve">ONLINE GATEWAY SETTLEMENT BATCH 61254</t>
  </si>
  <si>
    <t xml:space="preserve">FT250210974911</t>
  </si>
  <si>
    <t xml:space="preserve">LIRS PAYE REMITTANCE RRR 0044602585 JAN 2025</t>
  </si>
  <si>
    <t xml:space="preserve">FT250210073531</t>
  </si>
  <si>
    <t xml:space="preserve">POWER DISCO PREPAID VEND MTR 4521942</t>
  </si>
  <si>
    <t xml:space="preserve">POS250210004417</t>
  </si>
  <si>
    <t xml:space="preserve">POS PURCHASE - PETRO STATION 1213 IKEJA</t>
  </si>
  <si>
    <t xml:space="preserve">CHQ250210574515</t>
  </si>
  <si>
    <t xml:space="preserve">CASH WITHDRAWAL - CHQ 004514</t>
  </si>
  <si>
    <t xml:space="preserve">POS250212291938</t>
  </si>
  <si>
    <t xml:space="preserve">POS PURCHASE - OFFICE STATIONERY 251</t>
  </si>
  <si>
    <t xml:space="preserve">NIP250212150789</t>
  </si>
  <si>
    <t xml:space="preserve">NIP TRF TO POWERTECH ENGINEERING LTD/60KVA GENERATOR</t>
  </si>
  <si>
    <t xml:space="preserve">NIP250213399172</t>
  </si>
  <si>
    <t xml:space="preserve">NIP TRF FROM GREENFIELD STORES LTD/INV 1089</t>
  </si>
  <si>
    <t xml:space="preserve">POS250213786467</t>
  </si>
  <si>
    <t xml:space="preserve">POS SETTLEMENT MID 20519707 1302</t>
  </si>
  <si>
    <t xml:space="preserve">NIP250213747103</t>
  </si>
  <si>
    <t xml:space="preserve">NIP TRF TO APEX LOGISTICS NIG LTD/INV 4428</t>
  </si>
  <si>
    <t xml:space="preserve">NIP250213485824</t>
  </si>
  <si>
    <t xml:space="preserve">NIP TRF TO BRIGHTPRINT MEDIA/FLYERS 309</t>
  </si>
  <si>
    <t xml:space="preserve">NIP250214374192</t>
  </si>
  <si>
    <t xml:space="preserve">NIP TRF TO NOVA AGRO IMPORTS LTD/INV 4430</t>
  </si>
  <si>
    <t xml:space="preserve">POS250214501709</t>
  </si>
  <si>
    <t xml:space="preserve">POS PURCHASE - PETRO STATION 1665 IKEJA</t>
  </si>
  <si>
    <t xml:space="preserve">FT250217202191</t>
  </si>
  <si>
    <t xml:space="preserve">PFA PENSION CONTRIBUTION JAN 2025 BULK</t>
  </si>
  <si>
    <t xml:space="preserve">NIP250217514469</t>
  </si>
  <si>
    <t xml:space="preserve">NIP TRF FROM OLUWASEUN ADEBAYO/FUNDING</t>
  </si>
  <si>
    <t xml:space="preserve">CSH250218090201</t>
  </si>
  <si>
    <t xml:space="preserve">CASH DEPOSIT BY SELF</t>
  </si>
  <si>
    <t xml:space="preserve">POS250219141440</t>
  </si>
  <si>
    <t xml:space="preserve">INTL POS - SOCIAL MEDIA ADS USD 140</t>
  </si>
  <si>
    <t xml:space="preserve">POS250220482021</t>
  </si>
  <si>
    <t xml:space="preserve">POS SETTLEMENT MID 20518634 2002</t>
  </si>
  <si>
    <t xml:space="preserve">NIP250220278111</t>
  </si>
  <si>
    <t xml:space="preserve">NIP TRF TO OLUWASEUN ADEBAYO/UPKEEP</t>
  </si>
  <si>
    <t xml:space="preserve">FT250221517937</t>
  </si>
  <si>
    <t xml:space="preserve">FIRS VAT REMITTANCE RRR 9522293407 JAN 2025</t>
  </si>
  <si>
    <t xml:space="preserve">NIP250224632806</t>
  </si>
  <si>
    <t xml:space="preserve">NIP TRF FROM KANO WHOLESALE HUB/INV 1087</t>
  </si>
  <si>
    <t xml:space="preserve">NIP250224248574</t>
  </si>
  <si>
    <t xml:space="preserve">NIP TRF FROM SUNRISE PHARMA LTD/INV 1104</t>
  </si>
  <si>
    <t xml:space="preserve">FT250224820028</t>
  </si>
  <si>
    <t xml:space="preserve">ONLINE GATEWAY SETTLEMENT BATCH 55848</t>
  </si>
  <si>
    <t xml:space="preserve">FT250224854238</t>
  </si>
  <si>
    <t xml:space="preserve">FIRS WHT REMITTANCE RRR 7723391642</t>
  </si>
  <si>
    <t xml:space="preserve">CHQ250226663908</t>
  </si>
  <si>
    <t xml:space="preserve">CHQ PAID 004513 - KEMI PLASTICS LTD</t>
  </si>
  <si>
    <t xml:space="preserve">NIP250227453015</t>
  </si>
  <si>
    <t xml:space="preserve">NIP TRF FROM OJO &amp; SONS ENT/INV 1094</t>
  </si>
  <si>
    <t xml:space="preserve">POS250227305655</t>
  </si>
  <si>
    <t xml:space="preserve">POS SETTLEMENT MID 20512625 2702</t>
  </si>
  <si>
    <t xml:space="preserve">FT250227776450</t>
  </si>
  <si>
    <t xml:space="preserve">BULK PAYMENT - STAFF SALARIES FEB 2025</t>
  </si>
  <si>
    <t xml:space="preserve">CSH250228200402</t>
  </si>
  <si>
    <t xml:space="preserve">POS250228167959</t>
  </si>
  <si>
    <t xml:space="preserve">POS PURCHASE - PETRO STATION 1125 IKEJA</t>
  </si>
  <si>
    <t xml:space="preserve">FT250228760825</t>
  </si>
  <si>
    <t xml:space="preserve">ACCOUNT MAINTENANCE FEE FEB 2025</t>
  </si>
  <si>
    <t xml:space="preserve">FT250228940586</t>
  </si>
  <si>
    <t xml:space="preserve">NIP250228013994</t>
  </si>
  <si>
    <t xml:space="preserve">NIP TRANSFER FEES (6 TXNS)</t>
  </si>
  <si>
    <t xml:space="preserve">FT250228689009</t>
  </si>
  <si>
    <t xml:space="preserve">FT250228588583</t>
  </si>
  <si>
    <t xml:space="preserve">STAMP DUTY ON 18 ELECTRONIC RECEIPTS</t>
  </si>
  <si>
    <t xml:space="preserve">NIP250303264442</t>
  </si>
  <si>
    <t xml:space="preserve">NIP TRF FROM IBADAN TRADERS COOP/INV 1115</t>
  </si>
  <si>
    <t xml:space="preserve">FT250303151575</t>
  </si>
  <si>
    <t xml:space="preserve">POWER DISCO PREPAID VEND MTR 4521830</t>
  </si>
  <si>
    <t xml:space="preserve">NIP250305693018</t>
  </si>
  <si>
    <t xml:space="preserve">NIP TRF FROM BRIGHTWAY SCHOOLS/INV 1118</t>
  </si>
  <si>
    <t xml:space="preserve">FT250305606810</t>
  </si>
  <si>
    <t xml:space="preserve">BROADBAND SUBSCRIPTION INV 50891</t>
  </si>
  <si>
    <t xml:space="preserve">POS250305223558</t>
  </si>
  <si>
    <t xml:space="preserve">POS PURCHASE - PETRO STATION 1102 IKEJA</t>
  </si>
  <si>
    <t xml:space="preserve">POS250305557441</t>
  </si>
  <si>
    <t xml:space="preserve">INTL POS - SOCIAL MEDIA ADS USD 197</t>
  </si>
  <si>
    <t xml:space="preserve">POS250306451318</t>
  </si>
  <si>
    <t xml:space="preserve">POS SETTLEMENT MID 20515954 0603</t>
  </si>
  <si>
    <t xml:space="preserve">NIP250306059514</t>
  </si>
  <si>
    <t xml:space="preserve">NIP TRF FRM 3PL/PAYMENT 0034</t>
  </si>
  <si>
    <t xml:space="preserve">NIP250310326741</t>
  </si>
  <si>
    <t xml:space="preserve">MOBILE TRF CR OKAFOR PETER/THANKS</t>
  </si>
  <si>
    <t xml:space="preserve">NIP250310868974</t>
  </si>
  <si>
    <t xml:space="preserve">NIP TRF FROM OJO &amp; SONS ENT/INV 1129</t>
  </si>
  <si>
    <t xml:space="preserve">FT250310919659</t>
  </si>
  <si>
    <t xml:space="preserve">ONLINE GATEWAY SETTLEMENT BATCH 89957</t>
  </si>
  <si>
    <t xml:space="preserve">CSH250310477407</t>
  </si>
  <si>
    <t xml:space="preserve">CDM DEPOSIT 2856</t>
  </si>
  <si>
    <t xml:space="preserve">FT250310080005</t>
  </si>
  <si>
    <t xml:space="preserve">LIRS PAYE REMITTANCE RRR 8855843911 FEB 2025</t>
  </si>
  <si>
    <t xml:space="preserve">CHQ250310954989</t>
  </si>
  <si>
    <t xml:space="preserve">CASH WITHDRAWAL - CHQ 004516</t>
  </si>
  <si>
    <t xml:space="preserve">FT250310522178</t>
  </si>
  <si>
    <t xml:space="preserve">LOAN DISBURSEMENT TL/2025/0310</t>
  </si>
  <si>
    <t xml:space="preserve">FT250310553983</t>
  </si>
  <si>
    <t xml:space="preserve">LOAN MGT FEE 1% TL/2025/0310</t>
  </si>
  <si>
    <t xml:space="preserve">FT250310655181</t>
  </si>
  <si>
    <t xml:space="preserve">VAT ON LOAN MGT FEE</t>
  </si>
  <si>
    <t xml:space="preserve">NIP250312429212</t>
  </si>
  <si>
    <t xml:space="preserve">NIP TRF TO APEX LOGISTICS NIG LTD/INV 4442</t>
  </si>
  <si>
    <t xml:space="preserve">POS250312685289</t>
  </si>
  <si>
    <t xml:space="preserve">POS PURCHASE - OFFICE STATIONERY 464</t>
  </si>
  <si>
    <t xml:space="preserve">NIP250313923235</t>
  </si>
  <si>
    <t xml:space="preserve">NIP TRF FROM LEKKI MINI MART/INV 1126</t>
  </si>
  <si>
    <t xml:space="preserve">POS250313836565</t>
  </si>
  <si>
    <t xml:space="preserve">POS SETTLEMENT MID 20513262 1303</t>
  </si>
  <si>
    <t xml:space="preserve">NIP250313590655</t>
  </si>
  <si>
    <t xml:space="preserve">NIP TRF TO NOVA AGRO IMPORTS LTD/INV 4443</t>
  </si>
  <si>
    <t xml:space="preserve">NIP250313161728</t>
  </si>
  <si>
    <t xml:space="preserve">NIP TRF TO BRIGHTPRINT MEDIA/FLYERS 480</t>
  </si>
  <si>
    <t xml:space="preserve">NIP250314858469</t>
  </si>
  <si>
    <t xml:space="preserve">NIP TRF TO SAFEGUARD INSURANCE BROKERS/ANNUAL PREMIUM</t>
  </si>
  <si>
    <t xml:space="preserve">CSH250317226165</t>
  </si>
  <si>
    <t xml:space="preserve">FT250317295752</t>
  </si>
  <si>
    <t xml:space="preserve">PFA PENSION CONTRIBUTION FEB 2025 BULK</t>
  </si>
  <si>
    <t xml:space="preserve">POS250317783458</t>
  </si>
  <si>
    <t xml:space="preserve">POS PURCHASE - PETRO STATION 1607 IKEJA</t>
  </si>
  <si>
    <t xml:space="preserve">NIP250317936831</t>
  </si>
  <si>
    <t xml:space="preserve">NIP TRF TO ABU MECHANIC/REPAIR</t>
  </si>
  <si>
    <t xml:space="preserve">POS250318756193</t>
  </si>
  <si>
    <t xml:space="preserve">POS PURCHASE - PETRO STATION 1128 IKEJA</t>
  </si>
  <si>
    <t xml:space="preserve">NIP250319534193</t>
  </si>
  <si>
    <t xml:space="preserve">NIP TRF FROM DELTA FRESH MART/INV 1087</t>
  </si>
  <si>
    <t xml:space="preserve">NIP250320409739</t>
  </si>
  <si>
    <t xml:space="preserve">NIP TRF FROM GREENFIELD STORES LTD/INV 1132</t>
  </si>
  <si>
    <t xml:space="preserve">POS250320145797</t>
  </si>
  <si>
    <t xml:space="preserve">POS SETTLEMENT MID 20519812 2003</t>
  </si>
  <si>
    <t xml:space="preserve">FT250321133019</t>
  </si>
  <si>
    <t xml:space="preserve">FIRS VAT REMITTANCE RRR 7290841235 FEB 2025</t>
  </si>
  <si>
    <t xml:space="preserve">NIP250324645927</t>
  </si>
  <si>
    <t xml:space="preserve">NIP250324676892</t>
  </si>
  <si>
    <t xml:space="preserve">NIP TRF FROM DELTA FRESH MART/INV 1133</t>
  </si>
  <si>
    <t xml:space="preserve">FT250324081320</t>
  </si>
  <si>
    <t xml:space="preserve">ONLINE GATEWAY SETTLEMENT BATCH 61962</t>
  </si>
  <si>
    <t xml:space="preserve">CSH250324429626</t>
  </si>
  <si>
    <t xml:space="preserve">CDM DEPOSIT 2698</t>
  </si>
  <si>
    <t xml:space="preserve">NIP250324765173</t>
  </si>
  <si>
    <t xml:space="preserve">NIP TRF TO NOVA AGRO IMPORTS LTD/INV 4439</t>
  </si>
  <si>
    <t xml:space="preserve">FT250324642553</t>
  </si>
  <si>
    <t xml:space="preserve">FIRS WHT REMITTANCE RRR 2862671432</t>
  </si>
  <si>
    <t xml:space="preserve">FT250324553085</t>
  </si>
  <si>
    <t xml:space="preserve">POWER DISCO PREPAID VEND MTR 4521760</t>
  </si>
  <si>
    <t xml:space="preserve">CHQ250324560948</t>
  </si>
  <si>
    <t xml:space="preserve">CASH WITHDRAWAL - CHQ 004515</t>
  </si>
  <si>
    <t xml:space="preserve">NIP250326797713</t>
  </si>
  <si>
    <t xml:space="preserve">NIP TRF TO EMEKA N./PAYMENT FOR GOODS</t>
  </si>
  <si>
    <t xml:space="preserve">POS250327414486</t>
  </si>
  <si>
    <t xml:space="preserve">POS SETTLEMENT MID 20519297 2703</t>
  </si>
  <si>
    <t xml:space="preserve">FT250327144333</t>
  </si>
  <si>
    <t xml:space="preserve">BULK PAYMENT - STAFF SALARIES MAR 2025</t>
  </si>
  <si>
    <t xml:space="preserve">FT250331962363</t>
  </si>
  <si>
    <t xml:space="preserve">INTEREST ON CREDIT BALANCE</t>
  </si>
  <si>
    <t xml:space="preserve">FT250331139412</t>
  </si>
  <si>
    <t xml:space="preserve">ACCOUNT MAINTENANCE FEE MAR 2025</t>
  </si>
  <si>
    <t xml:space="preserve">FT250331670805</t>
  </si>
  <si>
    <t xml:space="preserve">NIP250331975919</t>
  </si>
  <si>
    <t xml:space="preserve">NIP TRANSFER FEES (7 TXNS)</t>
  </si>
  <si>
    <t xml:space="preserve">FT250331904481</t>
  </si>
  <si>
    <t xml:space="preserve">FT250331616973</t>
  </si>
  <si>
    <t xml:space="preserve">STAMP DUTY ON 21 ELECTRONIC RECEIPTS</t>
  </si>
  <si>
    <t xml:space="preserve">CHQ250402104363</t>
  </si>
  <si>
    <t xml:space="preserve">CHQ PAID 004517 - UNITY CHEMICALS LTD</t>
  </si>
  <si>
    <t xml:space="preserve">NIP250403123303</t>
  </si>
  <si>
    <t xml:space="preserve">NIP TRF FROM LEKKI MINI MART/INV 1141</t>
  </si>
  <si>
    <t xml:space="preserve">NIP250403855741</t>
  </si>
  <si>
    <t xml:space="preserve">NIP TRF FROM SUNRISE PHARMA LTD/INV 1147</t>
  </si>
  <si>
    <t xml:space="preserve">NIP250403297658</t>
  </si>
  <si>
    <t xml:space="preserve">NIP TRF TO GOLDEN HARVEST FOODS LTD/INV 4454</t>
  </si>
  <si>
    <t xml:space="preserve">FT250403815401</t>
  </si>
  <si>
    <t xml:space="preserve">POWER DISCO PREPAID VEND MTR 4521656</t>
  </si>
  <si>
    <t xml:space="preserve">POS250407781465</t>
  </si>
  <si>
    <t xml:space="preserve">POS SETTLEMENT MID 20517733 0704</t>
  </si>
  <si>
    <t xml:space="preserve">FT250407076643</t>
  </si>
  <si>
    <t xml:space="preserve">BROADBAND SUBSCRIPTION INV 17966</t>
  </si>
  <si>
    <t xml:space="preserve">NIP250407502237</t>
  </si>
  <si>
    <t xml:space="preserve">NIP TRF TO LEKKI PLAZA MGT/SHOP RENT Q2</t>
  </si>
  <si>
    <t xml:space="preserve">POS250408649160</t>
  </si>
  <si>
    <t xml:space="preserve">POS PURCHASE - PETRO STATION 1550 IKEJA</t>
  </si>
  <si>
    <t xml:space="preserve">FT250409692301</t>
  </si>
  <si>
    <t xml:space="preserve">ONLINE GATEWAY SETTLEMENT BATCH 11091</t>
  </si>
  <si>
    <t xml:space="preserve">NIP250409100036</t>
  </si>
  <si>
    <t xml:space="preserve">NIP TRF TO BRIGHTWAY SCHOOLS/OVERPAYMENT REFUND</t>
  </si>
  <si>
    <t xml:space="preserve">FT250410860055</t>
  </si>
  <si>
    <t xml:space="preserve">LIRS PAYE REMITTANCE RRR 8716835976 MAR 2025</t>
  </si>
  <si>
    <t xml:space="preserve">CHQ250410609875</t>
  </si>
  <si>
    <t xml:space="preserve">CASH WITHDRAWAL - CHQ 004520</t>
  </si>
  <si>
    <t xml:space="preserve">DD250410233410</t>
  </si>
  <si>
    <t xml:space="preserve">DIRECT DEBIT - LOAN REPAYMENT TL/2025/0310 INSTL 1</t>
  </si>
  <si>
    <t xml:space="preserve">NIP250414710621</t>
  </si>
  <si>
    <t xml:space="preserve">MOBILE TRF CR NGOZI A./THANKS</t>
  </si>
  <si>
    <t xml:space="preserve">POS250414095140</t>
  </si>
  <si>
    <t xml:space="preserve">POS SETTLEMENT MID 20516894 1404</t>
  </si>
  <si>
    <t xml:space="preserve">NIP250414811111</t>
  </si>
  <si>
    <t xml:space="preserve">NIP TRF TO GOLDEN HARVEST FOODS LTD/INV 4466</t>
  </si>
  <si>
    <t xml:space="preserve">NIP250414389451</t>
  </si>
  <si>
    <t xml:space="preserve">NIP TRF TO GOLDEN HARVEST FOODS LTD/INV 4468</t>
  </si>
  <si>
    <t xml:space="preserve">POS250414817187</t>
  </si>
  <si>
    <t xml:space="preserve">POS PURCHASE - PETRO STATION 1047 IKEJA</t>
  </si>
  <si>
    <t xml:space="preserve">POS250414958866</t>
  </si>
  <si>
    <t xml:space="preserve">POS PURCHASE - OFFICE STATIONERY 707</t>
  </si>
  <si>
    <t xml:space="preserve">CHQ250414790746</t>
  </si>
  <si>
    <t xml:space="preserve">CASH WITHDRAWAL - CHQ 004521</t>
  </si>
  <si>
    <t xml:space="preserve">NIP250415041416</t>
  </si>
  <si>
    <t xml:space="preserve">NIP TRF FROM IBADAN TRADERS COOP/INV 1152</t>
  </si>
  <si>
    <t xml:space="preserve">CHQ250415196437</t>
  </si>
  <si>
    <t xml:space="preserve">CHQ PAID 004519 - GOLDEN HARVEST FOODS LTD</t>
  </si>
  <si>
    <t xml:space="preserve">FT250415008668</t>
  </si>
  <si>
    <t xml:space="preserve">PFA PENSION CONTRIBUTION MAR 2025 BULK</t>
  </si>
  <si>
    <t xml:space="preserve">FT250415726205</t>
  </si>
  <si>
    <t xml:space="preserve">POWER DISCO PREPAID VEND MTR 4521101</t>
  </si>
  <si>
    <t xml:space="preserve">CSH250416750152</t>
  </si>
  <si>
    <t xml:space="preserve">POS250417119666</t>
  </si>
  <si>
    <t xml:space="preserve">POS PURCHASE - PETRO STATION 1803 IKEJA</t>
  </si>
  <si>
    <t xml:space="preserve">NIP250418710932</t>
  </si>
  <si>
    <t xml:space="preserve">NIP TRF FROM PRIME HOSPITALITY LTD/INV 1150</t>
  </si>
  <si>
    <t xml:space="preserve">POS250421627339</t>
  </si>
  <si>
    <t xml:space="preserve">POS SETTLEMENT MID 20518442 2104</t>
  </si>
  <si>
    <t xml:space="preserve">CSH250421192234</t>
  </si>
  <si>
    <t xml:space="preserve">CHQ250421515762</t>
  </si>
  <si>
    <t xml:space="preserve">CHQ PAID 004518 - APEX LOGISTICS NIG LTD</t>
  </si>
  <si>
    <t xml:space="preserve">FT250421847944</t>
  </si>
  <si>
    <t xml:space="preserve">FIRS VAT REMITTANCE RRR 4983883646 MAR 2025</t>
  </si>
  <si>
    <t xml:space="preserve">POS250421132186</t>
  </si>
  <si>
    <t xml:space="preserve">POS PURCHASE - PETRO STATION 1312 IKEJA</t>
  </si>
  <si>
    <t xml:space="preserve">NIP250421859345</t>
  </si>
  <si>
    <t xml:space="preserve">NIP TRF TO BRIGHTPRINT MEDIA/FLYERS 721</t>
  </si>
  <si>
    <t xml:space="preserve">FT250422670907</t>
  </si>
  <si>
    <t xml:space="preserve">FIRS WHT REMITTANCE RRR 3678062072</t>
  </si>
  <si>
    <t xml:space="preserve">NIP250423038465</t>
  </si>
  <si>
    <t xml:space="preserve">NIP TRF FROM SUNRISE PHARMA LTD/INV 1138</t>
  </si>
  <si>
    <t xml:space="preserve">FT250423237846</t>
  </si>
  <si>
    <t xml:space="preserve">ONLINE GATEWAY SETTLEMENT BATCH 22778</t>
  </si>
  <si>
    <t xml:space="preserve">POS250423183247</t>
  </si>
  <si>
    <t xml:space="preserve">INTL POS - SOCIAL MEDIA ADS USD 137</t>
  </si>
  <si>
    <t xml:space="preserve">NIP250424914571</t>
  </si>
  <si>
    <t xml:space="preserve">NIP TRF TO OLUWASEUN ADEBAYO/PERSONAL</t>
  </si>
  <si>
    <t xml:space="preserve">CSH250425613927</t>
  </si>
  <si>
    <t xml:space="preserve">CDM DEPOSIT 7165</t>
  </si>
  <si>
    <t xml:space="preserve">POS250428359981</t>
  </si>
  <si>
    <t xml:space="preserve">POS SETTLEMENT MID 20516718 2804</t>
  </si>
  <si>
    <t xml:space="preserve">FT250428015868</t>
  </si>
  <si>
    <t xml:space="preserve">BULK PAYMENT - STAFF SALARIES APR 2025</t>
  </si>
  <si>
    <t xml:space="preserve">FT250430740853</t>
  </si>
  <si>
    <t xml:space="preserve">ACCOUNT MAINTENANCE FEE APR 2025</t>
  </si>
  <si>
    <t xml:space="preserve">FT250430318551</t>
  </si>
  <si>
    <t xml:space="preserve">NIP250430737836</t>
  </si>
  <si>
    <t xml:space="preserve">FT250430311803</t>
  </si>
  <si>
    <t xml:space="preserve">FT250430702514</t>
  </si>
  <si>
    <t xml:space="preserve">STAMP DUTY ON 15 ELECTRONIC RECEIPTS</t>
  </si>
  <si>
    <t xml:space="preserve">NIP250502749502</t>
  </si>
  <si>
    <t xml:space="preserve">NIP TRF FROM DELTA FRESH MART/INV 1168</t>
  </si>
  <si>
    <t xml:space="preserve">NIP250505118826</t>
  </si>
  <si>
    <t xml:space="preserve">NIP TRF FROM GREENFIELD STORES LTD/INV 1161</t>
  </si>
  <si>
    <t xml:space="preserve">FT250505986798</t>
  </si>
  <si>
    <t xml:space="preserve">BROADBAND SUBSCRIPTION INV 14706</t>
  </si>
  <si>
    <t xml:space="preserve">POS250505641814</t>
  </si>
  <si>
    <t xml:space="preserve">POS PURCHASE - PETRO STATION 1494 IKEJA</t>
  </si>
  <si>
    <t xml:space="preserve">NIP250505490430</t>
  </si>
  <si>
    <t xml:space="preserve">NIP TRF TO BRIGHTPRINT MEDIA/FLYERS 596</t>
  </si>
  <si>
    <t xml:space="preserve">POS250506270711</t>
  </si>
  <si>
    <t xml:space="preserve">POS SETTLEMENT MID 20518984 0605</t>
  </si>
  <si>
    <t xml:space="preserve">NIP250507700783</t>
  </si>
  <si>
    <t xml:space="preserve">NIP TRF TO SAMUEL O./PAYMENT FOR GOODS</t>
  </si>
  <si>
    <t xml:space="preserve">FT250509990193</t>
  </si>
  <si>
    <t xml:space="preserve">ONLINE GATEWAY SETTLEMENT BATCH 67081</t>
  </si>
  <si>
    <t xml:space="preserve">NIP250512890390</t>
  </si>
  <si>
    <t xml:space="preserve">NIP TRF TO UNITY CHEMICALS LTD/INV 4473</t>
  </si>
  <si>
    <t xml:space="preserve">FT250512547279</t>
  </si>
  <si>
    <t xml:space="preserve">LIRS PAYE REMITTANCE RRR 0790788912 APR 2025</t>
  </si>
  <si>
    <t xml:space="preserve">POS250512950698</t>
  </si>
  <si>
    <t xml:space="preserve">POS PURCHASE - OFFICE STATIONERY 598</t>
  </si>
  <si>
    <t xml:space="preserve">CHQ250512461711</t>
  </si>
  <si>
    <t xml:space="preserve">CASH WITHDRAWAL - CHQ 004522</t>
  </si>
  <si>
    <t xml:space="preserve">DD250512427789</t>
  </si>
  <si>
    <t xml:space="preserve">DIRECT DEBIT - LOAN REPAYMENT TL/2025/0310 INSTL 2</t>
  </si>
  <si>
    <t xml:space="preserve">POS250513863348</t>
  </si>
  <si>
    <t xml:space="preserve">POS SETTLEMENT MID 20516541 1305</t>
  </si>
  <si>
    <t xml:space="preserve">NIP250514220983</t>
  </si>
  <si>
    <t xml:space="preserve">NIP TRF FROM PRIME HOSPITALITY LTD/INV 1109 PART 1 OF 2</t>
  </si>
  <si>
    <t xml:space="preserve">NIP250514223227</t>
  </si>
  <si>
    <t xml:space="preserve">NIP TRF FROM PRIME HOSPITALITY LTD/INV 1109 PART 2 OF 2</t>
  </si>
  <si>
    <t xml:space="preserve">FT250515901986</t>
  </si>
  <si>
    <t xml:space="preserve">PFA PENSION CONTRIBUTION APR 2025 BULK</t>
  </si>
  <si>
    <t xml:space="preserve">POS250515560268</t>
  </si>
  <si>
    <t xml:space="preserve">POS PURCHASE - PETRO STATION 1745 IKEJA</t>
  </si>
  <si>
    <t xml:space="preserve">FT250516364916</t>
  </si>
  <si>
    <t xml:space="preserve">TRF FRM MRS BALOGUN/PAYMENT</t>
  </si>
  <si>
    <t xml:space="preserve">NIP250516490083</t>
  </si>
  <si>
    <t xml:space="preserve">NIP TRF FROM GREENFIELD STORES LTD/INV 1176</t>
  </si>
  <si>
    <t xml:space="preserve">NIP250516368601</t>
  </si>
  <si>
    <t xml:space="preserve">NIP TRF TO HAJIA R./PAYMENT FOR GOODS</t>
  </si>
  <si>
    <t xml:space="preserve">FT250516479218</t>
  </si>
  <si>
    <t xml:space="preserve">POWER DISCO PREPAID VEND MTR 4521692</t>
  </si>
  <si>
    <t xml:space="preserve">POS250519907687</t>
  </si>
  <si>
    <t xml:space="preserve">POS PURCHASE - PETRO STATION 1913 IKEJA</t>
  </si>
  <si>
    <t xml:space="preserve">POS250519401639</t>
  </si>
  <si>
    <t xml:space="preserve">INTL POS - SOCIAL MEDIA ADS USD 109</t>
  </si>
  <si>
    <t xml:space="preserve">NIP250519582709</t>
  </si>
  <si>
    <t xml:space="preserve">POS250520461426</t>
  </si>
  <si>
    <t xml:space="preserve">POS SETTLEMENT MID 20516920 2005</t>
  </si>
  <si>
    <t xml:space="preserve">CSH250520706683</t>
  </si>
  <si>
    <t xml:space="preserve">NIP250520687752</t>
  </si>
  <si>
    <t xml:space="preserve">NIP TRF FROM KEMI PLASTICS LTD/REFUND CR NOTE 118</t>
  </si>
  <si>
    <t xml:space="preserve">NIP250521739189</t>
  </si>
  <si>
    <t xml:space="preserve">MOBILE TRF CR A. YUSUF/THANKS</t>
  </si>
  <si>
    <t xml:space="preserve">FT250521806950</t>
  </si>
  <si>
    <t xml:space="preserve">FIRS VAT REMITTANCE RRR 1424464128 APR 2025</t>
  </si>
  <si>
    <t xml:space="preserve">FT250522677170</t>
  </si>
  <si>
    <t xml:space="preserve">FIRS WHT REMITTANCE RRR 3257176710</t>
  </si>
  <si>
    <t xml:space="preserve">FT250523627976</t>
  </si>
  <si>
    <t xml:space="preserve">ONLINE GATEWAY SETTLEMENT BATCH 54166</t>
  </si>
  <si>
    <t xml:space="preserve">POS250523529740</t>
  </si>
  <si>
    <t xml:space="preserve">POS PURCHASE - PETRO STATION 1000 IKEJA</t>
  </si>
  <si>
    <t xml:space="preserve">NIP250526265383</t>
  </si>
  <si>
    <t xml:space="preserve">NIP TRF FROM DELTA FRESH MART/INV 1159</t>
  </si>
  <si>
    <t xml:space="preserve">NIP250526740596</t>
  </si>
  <si>
    <t xml:space="preserve">NIP TRF TO ZENITH CRATES &amp; PALLETS/INV 4476</t>
  </si>
  <si>
    <t xml:space="preserve">FT250526041051</t>
  </si>
  <si>
    <t xml:space="preserve">POWER DISCO PREPAID VEND MTR 4521945</t>
  </si>
  <si>
    <t xml:space="preserve">FT250527582746</t>
  </si>
  <si>
    <t xml:space="preserve">POS250527605550</t>
  </si>
  <si>
    <t xml:space="preserve">POS SETTLEMENT MID 20511073 2705</t>
  </si>
  <si>
    <t xml:space="preserve">FT250527321159</t>
  </si>
  <si>
    <t xml:space="preserve">BULK PAYMENT - STAFF SALARIES MAY 2025</t>
  </si>
  <si>
    <t xml:space="preserve">CSH250528332431</t>
  </si>
  <si>
    <t xml:space="preserve">FT250530881785</t>
  </si>
  <si>
    <t xml:space="preserve">ACCOUNT MAINTENANCE FEE MAY 2025</t>
  </si>
  <si>
    <t xml:space="preserve">FT250530562078</t>
  </si>
  <si>
    <t xml:space="preserve">NIP250530859538</t>
  </si>
  <si>
    <t xml:space="preserve">FT250530214519</t>
  </si>
  <si>
    <t xml:space="preserve">FT250530872422</t>
  </si>
  <si>
    <t xml:space="preserve">CHQ250602472602</t>
  </si>
  <si>
    <t xml:space="preserve">CHQ PAID 004523 - UNITY CHEMICALS LTD</t>
  </si>
  <si>
    <t xml:space="preserve">FT250602360798</t>
  </si>
  <si>
    <t xml:space="preserve">POWER DISCO PREPAID VEND MTR 4521401</t>
  </si>
  <si>
    <t xml:space="preserve">NIP250603243579</t>
  </si>
  <si>
    <t xml:space="preserve">NIP TRF TO ZENITH CRATES &amp; PALLETS/INV 4494</t>
  </si>
  <si>
    <t xml:space="preserve">NIP250604505132</t>
  </si>
  <si>
    <t xml:space="preserve">NIP TRF FROM BRIGHTWAY SCHOOLS/INV 1192</t>
  </si>
  <si>
    <t xml:space="preserve">POS250604916707</t>
  </si>
  <si>
    <t xml:space="preserve">POS PURCHASE - PETRO STATION 1200 IKEJA</t>
  </si>
  <si>
    <t xml:space="preserve">FT250605414531</t>
  </si>
  <si>
    <t xml:space="preserve">BROADBAND SUBSCRIPTION INV 89467</t>
  </si>
  <si>
    <t xml:space="preserve">NIP250605358081</t>
  </si>
  <si>
    <t xml:space="preserve">MOBILE TRF TO LAGOS MOTORS LTD/VAN DEPOSIT</t>
  </si>
  <si>
    <t xml:space="preserve">POS250606091987</t>
  </si>
  <si>
    <t xml:space="preserve">POS SETTLEMENT MID 20511518 0606</t>
  </si>
  <si>
    <t xml:space="preserve">POS250606479327</t>
  </si>
  <si>
    <t xml:space="preserve">POS PURCHASE - PETRO STATION 1455 IKEJA</t>
  </si>
  <si>
    <t xml:space="preserve">NIP250609686020</t>
  </si>
  <si>
    <t xml:space="preserve">NIP TRF FROM IBADAN TRADERS COOP/INV 1202</t>
  </si>
  <si>
    <t xml:space="preserve">NIP250609056641</t>
  </si>
  <si>
    <t xml:space="preserve">NIP TRF FROM SUNRISE PHARMA LTD/INV 1207</t>
  </si>
  <si>
    <t xml:space="preserve">FT250609502269</t>
  </si>
  <si>
    <t xml:space="preserve">ONLINE GATEWAY SETTLEMENT BATCH 33049</t>
  </si>
  <si>
    <t xml:space="preserve">NIP250609410637</t>
  </si>
  <si>
    <t xml:space="preserve">NIP250609672656</t>
  </si>
  <si>
    <t xml:space="preserve">NIP TRF TO MOHAMMED S./PAYMENT FOR GOODS</t>
  </si>
  <si>
    <t xml:space="preserve">POS250609256075</t>
  </si>
  <si>
    <t xml:space="preserve">POS PURCHASE - PETRO STATION 1460 IKEJA</t>
  </si>
  <si>
    <t xml:space="preserve">NIP250610876894</t>
  </si>
  <si>
    <t xml:space="preserve">NIP TRF FROM PRIME HOSPITALITY LTD/INV 1196</t>
  </si>
  <si>
    <t xml:space="preserve">CSH250610519656</t>
  </si>
  <si>
    <t xml:space="preserve">FT250610953206</t>
  </si>
  <si>
    <t xml:space="preserve">LIRS PAYE REMITTANCE RRR 3481309327 MAY 2025</t>
  </si>
  <si>
    <t xml:space="preserve">DD250610595980</t>
  </si>
  <si>
    <t xml:space="preserve">DIRECT DEBIT - LOAN REPAYMENT TL/2025/0310 INSTL 3</t>
  </si>
  <si>
    <t xml:space="preserve">CSH250612904504</t>
  </si>
  <si>
    <t xml:space="preserve">FT250612741326</t>
  </si>
  <si>
    <t xml:space="preserve">POWER DISCO PREPAID VEND MTR 4521974</t>
  </si>
  <si>
    <t xml:space="preserve">POS250612218958</t>
  </si>
  <si>
    <t xml:space="preserve">INTL POS - SOCIAL MEDIA ADS USD 122</t>
  </si>
  <si>
    <t xml:space="preserve">POS250612227831</t>
  </si>
  <si>
    <t xml:space="preserve">POS PURCHASE - OFFICE STATIONERY 500</t>
  </si>
  <si>
    <t xml:space="preserve">FT250612050745</t>
  </si>
  <si>
    <t xml:space="preserve">FIRS CIT PAYMENT RRR 0629379425 FY2024</t>
  </si>
  <si>
    <t xml:space="preserve">POS250613255974</t>
  </si>
  <si>
    <t xml:space="preserve">POS SETTLEMENT MID 20515102 1306</t>
  </si>
  <si>
    <t xml:space="preserve">NIP250616717722</t>
  </si>
  <si>
    <t xml:space="preserve">NIP TRF FROM GREENFIELD STORES LTD/INV 1183</t>
  </si>
  <si>
    <t xml:space="preserve">FT250616014574</t>
  </si>
  <si>
    <t xml:space="preserve">PFA PENSION CONTRIBUTION MAY 2025 BULK</t>
  </si>
  <si>
    <t xml:space="preserve">POS250616652314</t>
  </si>
  <si>
    <t xml:space="preserve">CHQ250616486177</t>
  </si>
  <si>
    <t xml:space="preserve">CASH WITHDRAWAL - CHQ 004525</t>
  </si>
  <si>
    <t xml:space="preserve">CSH250617428556</t>
  </si>
  <si>
    <t xml:space="preserve">FT250618115747</t>
  </si>
  <si>
    <t xml:space="preserve">MOB TRF-DR-8890121</t>
  </si>
  <si>
    <t xml:space="preserve">POS250619259542</t>
  </si>
  <si>
    <t xml:space="preserve">POS PURCHASE - PETRO STATION 1574 IKEJA</t>
  </si>
  <si>
    <t xml:space="preserve">POS250620470378</t>
  </si>
  <si>
    <t xml:space="preserve">POS SETTLEMENT MID 20518800 2006</t>
  </si>
  <si>
    <t xml:space="preserve">FT250620044880</t>
  </si>
  <si>
    <t xml:space="preserve">TRF TO SAVINGS ACC 0245117893</t>
  </si>
  <si>
    <t xml:space="preserve">NIP250623543540</t>
  </si>
  <si>
    <t xml:space="preserve">NIP TRF FROM IBRAHIM K.</t>
  </si>
  <si>
    <t xml:space="preserve">FT250623668002</t>
  </si>
  <si>
    <t xml:space="preserve">ONLINE GATEWAY SETTLEMENT BATCH 95954</t>
  </si>
  <si>
    <t xml:space="preserve">FT250623986190</t>
  </si>
  <si>
    <t xml:space="preserve">FIRS VAT REMITTANCE RRR 7282836237 MAY 2025</t>
  </si>
  <si>
    <t xml:space="preserve">FT250623708852</t>
  </si>
  <si>
    <t xml:space="preserve">FIRS WHT REMITTANCE RRR 5231473044</t>
  </si>
  <si>
    <t xml:space="preserve">FT250624395548</t>
  </si>
  <si>
    <t xml:space="preserve">CORPORATE AFFAIRS COMMISSION/ANNUAL RETURNS</t>
  </si>
  <si>
    <t xml:space="preserve">CHQ250625156354</t>
  </si>
  <si>
    <t xml:space="preserve">CHQ PAID 004524 - KEMI PLASTICS LTD</t>
  </si>
  <si>
    <t xml:space="preserve">NIP250626736497</t>
  </si>
  <si>
    <t xml:space="preserve">NIP TRF TO ZENITH CRATES &amp; PALLETS/INV 4495</t>
  </si>
  <si>
    <t xml:space="preserve">NIP250626930239</t>
  </si>
  <si>
    <t xml:space="preserve">POS250627247432</t>
  </si>
  <si>
    <t xml:space="preserve">POS SETTLEMENT MID 20516308 2706</t>
  </si>
  <si>
    <t xml:space="preserve">FT250627472763</t>
  </si>
  <si>
    <t xml:space="preserve">BULK PAYMENT - STAFF SALARIES JUN 2025</t>
  </si>
  <si>
    <t xml:space="preserve">FT250630011591</t>
  </si>
  <si>
    <t xml:space="preserve">FT250630769299</t>
  </si>
  <si>
    <t xml:space="preserve">ACCOUNT MAINTENANCE FEE JUN 2025</t>
  </si>
  <si>
    <t xml:space="preserve">FT250630020554</t>
  </si>
  <si>
    <t xml:space="preserve">NIP250630724888</t>
  </si>
  <si>
    <t xml:space="preserve">FT250630972949</t>
  </si>
  <si>
    <t xml:space="preserve">FT250630413986</t>
  </si>
  <si>
    <t xml:space="preserve">STAMP DUTY ON 16 ELECTRONIC RECEIPTS</t>
  </si>
  <si>
    <t xml:space="preserve">FT250702682317</t>
  </si>
  <si>
    <t xml:space="preserve">TRF FRM OKAFOR PETER/PAYMENT</t>
  </si>
  <si>
    <t xml:space="preserve">FT250703790143</t>
  </si>
  <si>
    <t xml:space="preserve">TRF FRM CHUKWU E./PAYMENT</t>
  </si>
  <si>
    <t xml:space="preserve">POS250707054582</t>
  </si>
  <si>
    <t xml:space="preserve">POS SETTLEMENT MID 20511703 0707</t>
  </si>
  <si>
    <t xml:space="preserve">CSH250707925230</t>
  </si>
  <si>
    <t xml:space="preserve">NIP250707927788</t>
  </si>
  <si>
    <t xml:space="preserve">NIP TRF TO NOVA AGRO IMPORTS LTD/INV 4503</t>
  </si>
  <si>
    <t xml:space="preserve">FT250707355493</t>
  </si>
  <si>
    <t xml:space="preserve">POWER DISCO PREPAID VEND MTR 4521703</t>
  </si>
  <si>
    <t xml:space="preserve">FT250707595530</t>
  </si>
  <si>
    <t xml:space="preserve">POWER DISCO PREPAID VEND MTR 4521880</t>
  </si>
  <si>
    <t xml:space="preserve">FT250707448259</t>
  </si>
  <si>
    <t xml:space="preserve">BROADBAND SUBSCRIPTION INV 10575</t>
  </si>
  <si>
    <t xml:space="preserve">POS250707185885</t>
  </si>
  <si>
    <t xml:space="preserve">POS PURCHASE - PETRO STATION 1295 IKEJA</t>
  </si>
  <si>
    <t xml:space="preserve">NIP250707085264</t>
  </si>
  <si>
    <t xml:space="preserve">NIP TRF TO LEKKI PLAZA MGT/SHOP RENT Q3</t>
  </si>
  <si>
    <t xml:space="preserve">NIP250708886230</t>
  </si>
  <si>
    <t xml:space="preserve">NIP TRF FROM LEKKI MINI MART/INV 1211</t>
  </si>
  <si>
    <t xml:space="preserve">FT250709578136</t>
  </si>
  <si>
    <t xml:space="preserve">ONLINE GATEWAY SETTLEMENT BATCH 76772</t>
  </si>
  <si>
    <t xml:space="preserve">FT250710509840</t>
  </si>
  <si>
    <t xml:space="preserve">LIRS PAYE REMITTANCE RRR 5007361583 JUN 2025</t>
  </si>
  <si>
    <t xml:space="preserve">DD250710637396</t>
  </si>
  <si>
    <t xml:space="preserve">DIRECT DEBIT - LOAN REPAYMENT TL/2025/0310 INSTL 4</t>
  </si>
  <si>
    <t xml:space="preserve">CHQ250711546046</t>
  </si>
  <si>
    <t xml:space="preserve">CHQ PAID 004527 - ZENITH CRATES &amp; PALLETS</t>
  </si>
  <si>
    <t xml:space="preserve">POS250714444668</t>
  </si>
  <si>
    <t xml:space="preserve">POS SETTLEMENT MID 20517040 1407</t>
  </si>
  <si>
    <t xml:space="preserve">NIP250714064955</t>
  </si>
  <si>
    <t xml:space="preserve">NIP TRF TO APEX LOGISTICS NIG LTD/INV 4510</t>
  </si>
  <si>
    <t xml:space="preserve">POS250714606437</t>
  </si>
  <si>
    <t xml:space="preserve">POS PURCHASE - OFFICE STATIONERY 647</t>
  </si>
  <si>
    <t xml:space="preserve">CHQ250714034548</t>
  </si>
  <si>
    <t xml:space="preserve">CASH WITHDRAWAL - CHQ 004528</t>
  </si>
  <si>
    <t xml:space="preserve">NIP250714743945</t>
  </si>
  <si>
    <t xml:space="preserve">NIP TRF TO PINNACLE PACKAGING LTD/INV 3309</t>
  </si>
  <si>
    <t xml:space="preserve">NIP250714434921</t>
  </si>
  <si>
    <t xml:space="preserve">FT250715562542</t>
  </si>
  <si>
    <t xml:space="preserve">PFA PENSION CONTRIBUTION JUN 2025 BULK</t>
  </si>
  <si>
    <t xml:space="preserve">FT250715480343</t>
  </si>
  <si>
    <t xml:space="preserve">REV/DUP DEBIT NIP 0712 PINNACLE PACKAGING</t>
  </si>
  <si>
    <t xml:space="preserve">NIP250718078088</t>
  </si>
  <si>
    <t xml:space="preserve">NIP TRF FROM OJO &amp; SONS ENT/INV 1215</t>
  </si>
  <si>
    <t xml:space="preserve">NIP250718793049</t>
  </si>
  <si>
    <t xml:space="preserve">MOBILE TRF TO LAGOS MOTORS LTD/VAN BALANCE</t>
  </si>
  <si>
    <t xml:space="preserve">NIP250721335661</t>
  </si>
  <si>
    <t xml:space="preserve">MOBILE TRF CR TUNDE/THANKS</t>
  </si>
  <si>
    <t xml:space="preserve">NIP250721141321</t>
  </si>
  <si>
    <t xml:space="preserve">NIP TRF FROM SUNRISE PHARMA LTD/INV 1222</t>
  </si>
  <si>
    <t xml:space="preserve">POS250721953305</t>
  </si>
  <si>
    <t xml:space="preserve">POS SETTLEMENT MID 20513821 2107</t>
  </si>
  <si>
    <t xml:space="preserve">CSH250721704818</t>
  </si>
  <si>
    <t xml:space="preserve">CSH250721241621</t>
  </si>
  <si>
    <t xml:space="preserve">CDM DEPOSIT 8510</t>
  </si>
  <si>
    <t xml:space="preserve">FT250721526952</t>
  </si>
  <si>
    <t xml:space="preserve">FIRS VAT REMITTANCE RRR 6984915388 JUN 2025</t>
  </si>
  <si>
    <t xml:space="preserve">NIP250721875670</t>
  </si>
  <si>
    <t xml:space="preserve">NIP TRF TO BRIGHTPRINT MEDIA/FLYERS 580</t>
  </si>
  <si>
    <t xml:space="preserve">NIP250721671202</t>
  </si>
  <si>
    <t xml:space="preserve">NIP TRF TO SAFEGUARD INSURANCE BROKERS/MOTOR POLICY</t>
  </si>
  <si>
    <t xml:space="preserve">NIP250722156687</t>
  </si>
  <si>
    <t xml:space="preserve">NIP TRF FROM IBADAN TRADERS COOP/INV 1225</t>
  </si>
  <si>
    <t xml:space="preserve">FT250722137169</t>
  </si>
  <si>
    <t xml:space="preserve">FIRS WHT REMITTANCE RRR 8549107991</t>
  </si>
  <si>
    <t xml:space="preserve">FT250723206983</t>
  </si>
  <si>
    <t xml:space="preserve">ONLINE GATEWAY SETTLEMENT BATCH 74460</t>
  </si>
  <si>
    <t xml:space="preserve">POS250723064769</t>
  </si>
  <si>
    <t xml:space="preserve">POS PURCHASE - PETRO STATION 1683 IKEJA</t>
  </si>
  <si>
    <t xml:space="preserve">NIP250723000610</t>
  </si>
  <si>
    <t xml:space="preserve">NIP TRF TO BRIGHTPRINT MEDIA/FLYERS 951</t>
  </si>
  <si>
    <t xml:space="preserve">NIP250725318260</t>
  </si>
  <si>
    <t xml:space="preserve">NIP TRF TO GOLDEN HARVEST FOODS LTD/INV 4520</t>
  </si>
  <si>
    <t xml:space="preserve">NIP250728419294</t>
  </si>
  <si>
    <t xml:space="preserve">NIP TRF FROM PRIME HOSPITALITY LTD/INV 1208</t>
  </si>
  <si>
    <t xml:space="preserve">POS250728318450</t>
  </si>
  <si>
    <t xml:space="preserve">POS SETTLEMENT MID 20514173 2807</t>
  </si>
  <si>
    <t xml:space="preserve">CHQ250728056228</t>
  </si>
  <si>
    <t xml:space="preserve">CHQ PAID 004526 - PINNACLE PACKAGING LTD</t>
  </si>
  <si>
    <t xml:space="preserve">FT250728939208</t>
  </si>
  <si>
    <t xml:space="preserve">BULK PAYMENT - STAFF SALARIES JUL 2025</t>
  </si>
  <si>
    <t xml:space="preserve">POS250728666415</t>
  </si>
  <si>
    <t xml:space="preserve">POS PURCHASE - PETRO STATION 1503 IKEJA</t>
  </si>
  <si>
    <t xml:space="preserve">FT250731877558</t>
  </si>
  <si>
    <t xml:space="preserve">ACCOUNT MAINTENANCE FEE JUL 2025</t>
  </si>
  <si>
    <t xml:space="preserve">FT250731103327</t>
  </si>
  <si>
    <t xml:space="preserve">NIP250731400432</t>
  </si>
  <si>
    <t xml:space="preserve">NIP TRANSFER FEES (10 TXNS)</t>
  </si>
  <si>
    <t xml:space="preserve">FT250731869087</t>
  </si>
  <si>
    <t xml:space="preserve">FT250731817973</t>
  </si>
  <si>
    <t xml:space="preserve">NIP250804636890</t>
  </si>
  <si>
    <t xml:space="preserve">NIP TRF FROM GREENFIELD STORES LTD/INV 1234</t>
  </si>
  <si>
    <t xml:space="preserve">CHQ250804266138</t>
  </si>
  <si>
    <t xml:space="preserve">CHQ PAID 004529 - UNITY CHEMICALS LTD</t>
  </si>
  <si>
    <t xml:space="preserve">NIP250805374772</t>
  </si>
  <si>
    <t xml:space="preserve">FT250805499640</t>
  </si>
  <si>
    <t xml:space="preserve">BROADBAND SUBSCRIPTION INV 98269</t>
  </si>
  <si>
    <t xml:space="preserve">NIP250805770470</t>
  </si>
  <si>
    <t xml:space="preserve">NIP TRF TO UNITY CHEMICALS LTD/INV 4630</t>
  </si>
  <si>
    <t xml:space="preserve">POS250806059364</t>
  </si>
  <si>
    <t xml:space="preserve">POS SETTLEMENT MID 20517244 0608</t>
  </si>
  <si>
    <t xml:space="preserve">CSH250806538460</t>
  </si>
  <si>
    <t xml:space="preserve">NIP250807820870</t>
  </si>
  <si>
    <t xml:space="preserve">NIP TRF FROM PRIME HOSPITALITY LTD/INV 1264</t>
  </si>
  <si>
    <t xml:space="preserve">NIP250807619499</t>
  </si>
  <si>
    <t xml:space="preserve">NIP TRF TO OKEKE &amp; CO CHARTERED ACCTS/AUDIT FEE FY2024</t>
  </si>
  <si>
    <t xml:space="preserve">NIP250811380548</t>
  </si>
  <si>
    <t xml:space="preserve">NIP TRF FROM PRIME HOSPITALITY LTD/INV 1238</t>
  </si>
  <si>
    <t xml:space="preserve">NIP250811935070</t>
  </si>
  <si>
    <t xml:space="preserve">NIP TRF FROM IBADAN TRADERS COOP/INV 1243</t>
  </si>
  <si>
    <t xml:space="preserve">NIP250811142797</t>
  </si>
  <si>
    <t xml:space="preserve">NIP TRF FROM GREENFIELD STORES LTD/INV 1259</t>
  </si>
  <si>
    <t xml:space="preserve">FT250811176274</t>
  </si>
  <si>
    <t xml:space="preserve">ONLINE GATEWAY SETTLEMENT BATCH 11282</t>
  </si>
  <si>
    <t xml:space="preserve">FT250811640116</t>
  </si>
  <si>
    <t xml:space="preserve">LIRS PAYE REMITTANCE RRR 1392344357 JUL 2025</t>
  </si>
  <si>
    <t xml:space="preserve">POS250811841159</t>
  </si>
  <si>
    <t xml:space="preserve">POS PURCHASE - PETRO STATION 1712 IKEJA</t>
  </si>
  <si>
    <t xml:space="preserve">DD250811922755</t>
  </si>
  <si>
    <t xml:space="preserve">DIRECT DEBIT - LOAN REPAYMENT TL/2025/0310 INSTL 5</t>
  </si>
  <si>
    <t xml:space="preserve">NIP250812923094</t>
  </si>
  <si>
    <t xml:space="preserve">NIP TRF FROM DELTA FRESH MART/INV 1249</t>
  </si>
  <si>
    <t xml:space="preserve">POS250812339441</t>
  </si>
  <si>
    <t xml:space="preserve">POS PURCHASE - OFFICE STATIONERY 384</t>
  </si>
  <si>
    <t xml:space="preserve">POS250813249795</t>
  </si>
  <si>
    <t xml:space="preserve">POS SETTLEMENT MID 20518215 1308</t>
  </si>
  <si>
    <t xml:space="preserve">POS250814768264</t>
  </si>
  <si>
    <t xml:space="preserve">INTL POS - SOCIAL MEDIA ADS USD 127</t>
  </si>
  <si>
    <t xml:space="preserve">NIP250814377179</t>
  </si>
  <si>
    <t xml:space="preserve">NIP TRF TO KEMI PLASTICS LTD/INV 2201 AND 2207</t>
  </si>
  <si>
    <t xml:space="preserve">CSH250815335091</t>
  </si>
  <si>
    <t xml:space="preserve">CDM DEPOSIT 9499</t>
  </si>
  <si>
    <t xml:space="preserve">FT250815994802</t>
  </si>
  <si>
    <t xml:space="preserve">PFA PENSION CONTRIBUTION JUL 2025 BULK</t>
  </si>
  <si>
    <t xml:space="preserve">FT250815248007</t>
  </si>
  <si>
    <t xml:space="preserve">POWER DISCO PREPAID VEND MTR 4521732</t>
  </si>
  <si>
    <t xml:space="preserve">NIP250818911880</t>
  </si>
  <si>
    <t xml:space="preserve">NIP TRF FROM OJO &amp; SONS ENT/INV 1232</t>
  </si>
  <si>
    <t xml:space="preserve">NIP250818366086</t>
  </si>
  <si>
    <t xml:space="preserve">NIP TRF TO PINNACLE PACKAGING LTD/INV 4531</t>
  </si>
  <si>
    <t xml:space="preserve">POS250818220195</t>
  </si>
  <si>
    <t xml:space="preserve">POS PURCHASE - PETRO STATION 1105 IKEJA</t>
  </si>
  <si>
    <t xml:space="preserve">POS250818126561</t>
  </si>
  <si>
    <t xml:space="preserve">POS PURCHASE - PETRO STATION 1073 IKEJA</t>
  </si>
  <si>
    <t xml:space="preserve">NIP250818473499</t>
  </si>
  <si>
    <t xml:space="preserve">NIP TRF TO KAYODE ELECTRICALS/REPAIR</t>
  </si>
  <si>
    <t xml:space="preserve">CHQ250818529696</t>
  </si>
  <si>
    <t xml:space="preserve">CHEQUE DEPOSIT - CLEARING CHQ 007321 OJO &amp; SONS ENT</t>
  </si>
  <si>
    <t xml:space="preserve">NIP250819406959</t>
  </si>
  <si>
    <t xml:space="preserve">NIP TRF FROM BRIGHTWAY SCHOOLS/INV 1254</t>
  </si>
  <si>
    <t xml:space="preserve">POS250820779530</t>
  </si>
  <si>
    <t xml:space="preserve">POS SETTLEMENT MID 20518943 2008</t>
  </si>
  <si>
    <t xml:space="preserve">CHQ250821820370</t>
  </si>
  <si>
    <t xml:space="preserve">CHQ PAID 004530 - NOVA AGRO IMPORTS LTD</t>
  </si>
  <si>
    <t xml:space="preserve">FT250821647926</t>
  </si>
  <si>
    <t xml:space="preserve">FIRS VAT REMITTANCE RRR 0955619296 JUL 2025</t>
  </si>
  <si>
    <t xml:space="preserve">POS250821845965</t>
  </si>
  <si>
    <t xml:space="preserve">POS PURCHASE - PETRO STATION 1729 IKEJA</t>
  </si>
  <si>
    <t xml:space="preserve">POS250821968871</t>
  </si>
  <si>
    <t xml:space="preserve">INTL POS - SOCIAL MEDIA ADS USD 152</t>
  </si>
  <si>
    <t xml:space="preserve">CHQ250821167887</t>
  </si>
  <si>
    <t xml:space="preserve">CASH WITHDRAWAL - CHQ 004531</t>
  </si>
  <si>
    <t xml:space="preserve">CSH250822986988</t>
  </si>
  <si>
    <t xml:space="preserve">CDM DEPOSIT 1450</t>
  </si>
  <si>
    <t xml:space="preserve">FT250822412403</t>
  </si>
  <si>
    <t xml:space="preserve">FIRS WHT REMITTANCE RRR 9156349399</t>
  </si>
  <si>
    <t xml:space="preserve">FT250822721590</t>
  </si>
  <si>
    <t xml:space="preserve">RETURNED CHEQUE - UNPAID CHQ 007321</t>
  </si>
  <si>
    <t xml:space="preserve">FT250822731244</t>
  </si>
  <si>
    <t xml:space="preserve">UNPAID CHEQUE COMMISSION INCL VAT</t>
  </si>
  <si>
    <t xml:space="preserve">FT250825831341</t>
  </si>
  <si>
    <t xml:space="preserve">ONLINE GATEWAY SETTLEMENT BATCH 90114</t>
  </si>
  <si>
    <t xml:space="preserve">FT250825696022</t>
  </si>
  <si>
    <t xml:space="preserve">POWER DISCO PREPAID VEND MTR 4521481</t>
  </si>
  <si>
    <t xml:space="preserve">POS250827880806</t>
  </si>
  <si>
    <t xml:space="preserve">POS SETTLEMENT MID 20512223 2708</t>
  </si>
  <si>
    <t xml:space="preserve">FT250827025197</t>
  </si>
  <si>
    <t xml:space="preserve">BULK PAYMENT - STAFF SALARIES AUG 2025</t>
  </si>
  <si>
    <t xml:space="preserve">NIP250827983413</t>
  </si>
  <si>
    <t xml:space="preserve">NIP TRF TO KINGS COLLEGE/SCHOOL FEES TERM 1</t>
  </si>
  <si>
    <t xml:space="preserve">FT250829133587</t>
  </si>
  <si>
    <t xml:space="preserve">ACCOUNT MAINTENANCE FEE AUG 2025</t>
  </si>
  <si>
    <t xml:space="preserve">FT250829480965</t>
  </si>
  <si>
    <t xml:space="preserve">NIP250829617037</t>
  </si>
  <si>
    <t xml:space="preserve">FT250829004635</t>
  </si>
  <si>
    <t xml:space="preserve">FT250829995691</t>
  </si>
  <si>
    <t xml:space="preserve">NIP250904246688</t>
  </si>
  <si>
    <t xml:space="preserve">MOBILE TRF CR REF 8832110</t>
  </si>
  <si>
    <t xml:space="preserve">NIP250905669536</t>
  </si>
  <si>
    <t xml:space="preserve">NIP TRF FROM KANO WHOLESALE HUB/INV 1281</t>
  </si>
  <si>
    <t xml:space="preserve">FT250905615104</t>
  </si>
  <si>
    <t xml:space="preserve">BROADBAND SUBSCRIPTION INV 80830</t>
  </si>
  <si>
    <t xml:space="preserve">NIP250905350902</t>
  </si>
  <si>
    <t xml:space="preserve">NIP TRF TO BRIGHTPRINT MEDIA/FLYERS 398</t>
  </si>
  <si>
    <t xml:space="preserve">POS250908058459</t>
  </si>
  <si>
    <t xml:space="preserve">POS SETTLEMENT MID 20519949 0809</t>
  </si>
  <si>
    <t xml:space="preserve">CSH250908278422</t>
  </si>
  <si>
    <t xml:space="preserve">NIP250908448149</t>
  </si>
  <si>
    <t xml:space="preserve">NIP TRF TO UNITY CHEMICALS LTD/INV 4536</t>
  </si>
  <si>
    <t xml:space="preserve">NIP250908164839</t>
  </si>
  <si>
    <t xml:space="preserve">NIP TRF TO UNITY CHEMICALS LTD/INV 4548</t>
  </si>
  <si>
    <t xml:space="preserve">FT250908786065</t>
  </si>
  <si>
    <t xml:space="preserve">POWER DISCO PREPAID VEND MTR 4521403</t>
  </si>
  <si>
    <t xml:space="preserve">FT250909124852</t>
  </si>
  <si>
    <t xml:space="preserve">ONLINE GATEWAY SETTLEMENT BATCH 85923</t>
  </si>
  <si>
    <t xml:space="preserve">NIP250909684746</t>
  </si>
  <si>
    <t xml:space="preserve">NIP TRF FROM OLUWASEUN ADEBAYO/ADVANCE</t>
  </si>
  <si>
    <t xml:space="preserve">FT250910967513</t>
  </si>
  <si>
    <t xml:space="preserve">LIRS PAYE REMITTANCE RRR 6618632053 AUG 2025</t>
  </si>
  <si>
    <t xml:space="preserve">DD250910897506</t>
  </si>
  <si>
    <t xml:space="preserve">DIRECT DEBIT - LOAN REPAYMENT TL/2025/0310 INSTL 6</t>
  </si>
  <si>
    <t xml:space="preserve">NIP250911503035</t>
  </si>
  <si>
    <t xml:space="preserve">NIP TRF FROM DELTA FRESH MART/INV 1291</t>
  </si>
  <si>
    <t xml:space="preserve">CSH250911177980</t>
  </si>
  <si>
    <t xml:space="preserve">CDM DEPOSIT 2554</t>
  </si>
  <si>
    <t xml:space="preserve">NIP250912988929</t>
  </si>
  <si>
    <t xml:space="preserve">NIP TRF FROM BRIGHTWAY SCHOOLS/INV 1265</t>
  </si>
  <si>
    <t xml:space="preserve">NIP250912063567</t>
  </si>
  <si>
    <t xml:space="preserve">NIP TRF FROM LEKKI MINI MART/INV 1273</t>
  </si>
  <si>
    <t xml:space="preserve">CHQ250912922734</t>
  </si>
  <si>
    <t xml:space="preserve">CHQ PAID 004532 - GOLDEN HARVEST FOODS LTD</t>
  </si>
  <si>
    <t xml:space="preserve">POS250912611273</t>
  </si>
  <si>
    <t xml:space="preserve">POS PURCHASE - OFFICE STATIONERY 954</t>
  </si>
  <si>
    <t xml:space="preserve">NIP250915320106</t>
  </si>
  <si>
    <t xml:space="preserve">NIP TRF FROM IBADAN TRADERS COOP/INV 1287</t>
  </si>
  <si>
    <t xml:space="preserve">NIP250915705390</t>
  </si>
  <si>
    <t xml:space="preserve">NIP TRF FROM ABUJA CATERING SERVICES/INV 1298</t>
  </si>
  <si>
    <t xml:space="preserve">POS250915086946</t>
  </si>
  <si>
    <t xml:space="preserve">POS SETTLEMENT MID 20516047 1509</t>
  </si>
  <si>
    <t xml:space="preserve">FT250915910733</t>
  </si>
  <si>
    <t xml:space="preserve">PFA PENSION CONTRIBUTION AUG 2025 BULK</t>
  </si>
  <si>
    <t xml:space="preserve">POS250915696967</t>
  </si>
  <si>
    <t xml:space="preserve">POS PURCHASE - PETRO STATION 1747 IKEJA</t>
  </si>
  <si>
    <t xml:space="preserve">NIP250916162096</t>
  </si>
  <si>
    <t xml:space="preserve">NIP TRF FROM ABUJA CATERING SERVICES/INV 1272</t>
  </si>
  <si>
    <t xml:space="preserve">NIP250917648692</t>
  </si>
  <si>
    <t xml:space="preserve">POS250919560253</t>
  </si>
  <si>
    <t xml:space="preserve">INTL POS - SOCIAL MEDIA ADS USD 158</t>
  </si>
  <si>
    <t xml:space="preserve">POS250922274240</t>
  </si>
  <si>
    <t xml:space="preserve">POS SETTLEMENT MID 20511711 2209</t>
  </si>
  <si>
    <t xml:space="preserve">CHQ250922239324</t>
  </si>
  <si>
    <t xml:space="preserve">CHQ PAID 004533 - UNITY CHEMICALS LTD</t>
  </si>
  <si>
    <t xml:space="preserve">FT250922247660</t>
  </si>
  <si>
    <t xml:space="preserve">FIRS VAT REMITTANCE RRR 9585446397 AUG 2025</t>
  </si>
  <si>
    <t xml:space="preserve">FT250922879175</t>
  </si>
  <si>
    <t xml:space="preserve">FIRS WHT REMITTANCE RRR 9576274307</t>
  </si>
  <si>
    <t xml:space="preserve">FT250922229149</t>
  </si>
  <si>
    <t xml:space="preserve">POWER DISCO PREPAID VEND MTR 4521374</t>
  </si>
  <si>
    <t xml:space="preserve">NIP250923851837</t>
  </si>
  <si>
    <t xml:space="preserve">NIP TRF FROM ABUJA CATERING SERVICES/INV 1305</t>
  </si>
  <si>
    <t xml:space="preserve">FT250923528238</t>
  </si>
  <si>
    <t xml:space="preserve">ONLINE GATEWAY SETTLEMENT BATCH 61059</t>
  </si>
  <si>
    <t xml:space="preserve">CHQ250923772100</t>
  </si>
  <si>
    <t xml:space="preserve">CASH WITHDRAWAL - CHQ 004534</t>
  </si>
  <si>
    <t xml:space="preserve">POS250924027487</t>
  </si>
  <si>
    <t xml:space="preserve">POS PURCHASE - PETRO STATION 1188 IKEJA</t>
  </si>
  <si>
    <t xml:space="preserve">POS250929920507</t>
  </si>
  <si>
    <t xml:space="preserve">POS SETTLEMENT MID 20517435 2909</t>
  </si>
  <si>
    <t xml:space="preserve">FT250929088216</t>
  </si>
  <si>
    <t xml:space="preserve">BULK PAYMENT - STAFF SALARIES SEP 2025</t>
  </si>
  <si>
    <t xml:space="preserve">POS250929535176</t>
  </si>
  <si>
    <t xml:space="preserve">POS PURCHASE - PETRO STATION 1351 IKEJA</t>
  </si>
  <si>
    <t xml:space="preserve">FT250930068091</t>
  </si>
  <si>
    <t xml:space="preserve">FT250930687060</t>
  </si>
  <si>
    <t xml:space="preserve">ACCOUNT MAINTENANCE FEE SEP 2025</t>
  </si>
  <si>
    <t xml:space="preserve">FT250930443777</t>
  </si>
  <si>
    <t xml:space="preserve">NIP250930885482</t>
  </si>
  <si>
    <t xml:space="preserve">NIP TRANSFER FEES (4 TXNS)</t>
  </si>
  <si>
    <t xml:space="preserve">FT250930151432</t>
  </si>
  <si>
    <t xml:space="preserve">FT250930721016</t>
  </si>
  <si>
    <t xml:space="preserve">STAMP DUTY ON 19 ELECTRONIC RECEIPTS</t>
  </si>
  <si>
    <t xml:space="preserve">NIP251002658536</t>
  </si>
  <si>
    <t xml:space="preserve">NIP TRF FROM IBADAN TRADERS COOP/INV 1323</t>
  </si>
  <si>
    <t xml:space="preserve">CHQ251002489829</t>
  </si>
  <si>
    <t xml:space="preserve">CHQ PAID 004535 - ZENITH CRATES &amp; PALLETS</t>
  </si>
  <si>
    <t xml:space="preserve">NIP251006406675</t>
  </si>
  <si>
    <t xml:space="preserve">NIP TRF FROM DELTA FRESH MART/INV 1309</t>
  </si>
  <si>
    <t xml:space="preserve">POS251006058814</t>
  </si>
  <si>
    <t xml:space="preserve">POS SETTLEMENT MID 20512264 0610</t>
  </si>
  <si>
    <t xml:space="preserve">CSH251006956101</t>
  </si>
  <si>
    <t xml:space="preserve">CDM DEPOSIT 8808</t>
  </si>
  <si>
    <t xml:space="preserve">NIP251006959233</t>
  </si>
  <si>
    <t xml:space="preserve">NIP TRF TO NOVA AGRO IMPORTS LTD/INV 4570</t>
  </si>
  <si>
    <t xml:space="preserve">FT251006921901</t>
  </si>
  <si>
    <t xml:space="preserve">POWER DISCO PREPAID VEND MTR 4521415</t>
  </si>
  <si>
    <t xml:space="preserve">FT251006496927</t>
  </si>
  <si>
    <t xml:space="preserve">BROADBAND SUBSCRIPTION INV 69231</t>
  </si>
  <si>
    <t xml:space="preserve">NIP251007893522</t>
  </si>
  <si>
    <t xml:space="preserve">NIP TRF TO LEKKI PLAZA MGT/SHOP RENT Q4</t>
  </si>
  <si>
    <t xml:space="preserve">POS251008114754</t>
  </si>
  <si>
    <t xml:space="preserve">POS PURCHASE - PETRO STATION 1134 IKEJA</t>
  </si>
  <si>
    <t xml:space="preserve">NIP251008817782</t>
  </si>
  <si>
    <t xml:space="preserve">NIP TRF TO KEMI PLASTICS LTD/INV 4702</t>
  </si>
  <si>
    <t xml:space="preserve">NIP251009665694</t>
  </si>
  <si>
    <t xml:space="preserve">NIP TRF FROM A. YUSUF</t>
  </si>
  <si>
    <t xml:space="preserve">FT251009930724</t>
  </si>
  <si>
    <t xml:space="preserve">ONLINE GATEWAY SETTLEMENT BATCH 59572</t>
  </si>
  <si>
    <t xml:space="preserve">CHQ251009533377</t>
  </si>
  <si>
    <t xml:space="preserve">CASH WITHDRAWAL - CHQ 004537</t>
  </si>
  <si>
    <t xml:space="preserve">FT251010610546</t>
  </si>
  <si>
    <t xml:space="preserve">LIRS PAYE REMITTANCE RRR 3732070637 SEP 2025</t>
  </si>
  <si>
    <t xml:space="preserve">DD251010721155</t>
  </si>
  <si>
    <t xml:space="preserve">DIRECT DEBIT - LOAN REPAYMENT TL/2025/0310 INSTL 7</t>
  </si>
  <si>
    <t xml:space="preserve">NIP251013265425</t>
  </si>
  <si>
    <t xml:space="preserve">NIP TRF FROM ABUJA CATERING SERVICES/INV 1320</t>
  </si>
  <si>
    <t xml:space="preserve">POS251013534999</t>
  </si>
  <si>
    <t xml:space="preserve">POS SETTLEMENT MID 20517782 1310</t>
  </si>
  <si>
    <t xml:space="preserve">CSH251013455904</t>
  </si>
  <si>
    <t xml:space="preserve">POS251013654922</t>
  </si>
  <si>
    <t xml:space="preserve">POS PURCHASE - OFFICE STATIONERY 361</t>
  </si>
  <si>
    <t xml:space="preserve">FT251014566992</t>
  </si>
  <si>
    <t xml:space="preserve">POWER DISCO PREPAID VEND MTR 4521745</t>
  </si>
  <si>
    <t xml:space="preserve">CHQ251014841281</t>
  </si>
  <si>
    <t xml:space="preserve">CASH WITHDRAWAL - CHQ 004538</t>
  </si>
  <si>
    <t xml:space="preserve">NIP251015530824</t>
  </si>
  <si>
    <t xml:space="preserve">CHQ251015924094</t>
  </si>
  <si>
    <t xml:space="preserve">CHQ PAID 004536 - UNITY CHEMICALS LTD</t>
  </si>
  <si>
    <t xml:space="preserve">FT251015635956</t>
  </si>
  <si>
    <t xml:space="preserve">PFA PENSION CONTRIBUTION SEP 2025 BULK</t>
  </si>
  <si>
    <t xml:space="preserve">POS251015422831</t>
  </si>
  <si>
    <t xml:space="preserve">INTL POS - SOCIAL MEDIA ADS USD 167</t>
  </si>
  <si>
    <t xml:space="preserve">FT251015346236</t>
  </si>
  <si>
    <t xml:space="preserve">TRF FROM 0245117893</t>
  </si>
  <si>
    <t xml:space="preserve">NIP251016657051</t>
  </si>
  <si>
    <t xml:space="preserve">NIP TRF TO UNITY CHEMICALS LTD/INV 4561</t>
  </si>
  <si>
    <t xml:space="preserve">NIP251016888352</t>
  </si>
  <si>
    <t xml:space="preserve">NIP TRF TO APEX LOGISTICS NIG LTD/INV 4571</t>
  </si>
  <si>
    <t xml:space="preserve">NIP251017339686</t>
  </si>
  <si>
    <t xml:space="preserve">NIP TRF FROM BRIGHTWAY SCHOOLS/INV 1316</t>
  </si>
  <si>
    <t xml:space="preserve">POS251017952701</t>
  </si>
  <si>
    <t xml:space="preserve">POS PURCHASE - PETRO STATION 1196 IKEJA</t>
  </si>
  <si>
    <t xml:space="preserve">NIP251017566185</t>
  </si>
  <si>
    <t xml:space="preserve">NIP251020044096</t>
  </si>
  <si>
    <t xml:space="preserve">MOBILE TRF CR CHUKWU E./THANKS</t>
  </si>
  <si>
    <t xml:space="preserve">POS251020431663</t>
  </si>
  <si>
    <t xml:space="preserve">POS SETTLEMENT MID 20511143 2010</t>
  </si>
  <si>
    <t xml:space="preserve">NIP251020802747</t>
  </si>
  <si>
    <t xml:space="preserve">NIP TRF TO ZENITH CRATES &amp; PALLETS/INV 4567</t>
  </si>
  <si>
    <t xml:space="preserve">POS251020288439</t>
  </si>
  <si>
    <t xml:space="preserve">POS/WEB 9918 INTL TXN</t>
  </si>
  <si>
    <t xml:space="preserve">FT251021139265</t>
  </si>
  <si>
    <t xml:space="preserve">FIRS VAT REMITTANCE RRR 6149096769 SEP 2025</t>
  </si>
  <si>
    <t xml:space="preserve">CSH251022835459</t>
  </si>
  <si>
    <t xml:space="preserve">FT251022699306</t>
  </si>
  <si>
    <t xml:space="preserve">FIRS WHT REMITTANCE RRR 1593074299</t>
  </si>
  <si>
    <t xml:space="preserve">POS251022048132</t>
  </si>
  <si>
    <t xml:space="preserve">POS PURCHASE - PETRO STATION 1208 IKEJA</t>
  </si>
  <si>
    <t xml:space="preserve">NIP251022843181</t>
  </si>
  <si>
    <t xml:space="preserve">NIP TRF TO BARR ADENIYI &amp; PARTNERS/LEGAL FEES</t>
  </si>
  <si>
    <t xml:space="preserve">FT251023482231</t>
  </si>
  <si>
    <t xml:space="preserve">ONLINE GATEWAY SETTLEMENT BATCH 59315</t>
  </si>
  <si>
    <t xml:space="preserve">NIP251024960722</t>
  </si>
  <si>
    <t xml:space="preserve">NIP TRF TO BRIGHTPRINT MEDIA/FLYERS 386</t>
  </si>
  <si>
    <t xml:space="preserve">POS251027665840</t>
  </si>
  <si>
    <t xml:space="preserve">POS SETTLEMENT MID 20517257 2710</t>
  </si>
  <si>
    <t xml:space="preserve">FT251027970030</t>
  </si>
  <si>
    <t xml:space="preserve">BULK PAYMENT - STAFF SALARIES OCT 2025</t>
  </si>
  <si>
    <t xml:space="preserve">NIP251028317441</t>
  </si>
  <si>
    <t xml:space="preserve">FT251031300960</t>
  </si>
  <si>
    <t xml:space="preserve">ACCOUNT MAINTENANCE FEE OCT 2025</t>
  </si>
  <si>
    <t xml:space="preserve">FT251031716807</t>
  </si>
  <si>
    <t xml:space="preserve">NIP251031661942</t>
  </si>
  <si>
    <t xml:space="preserve">FT251031472491</t>
  </si>
  <si>
    <t xml:space="preserve">FT251031739902</t>
  </si>
  <si>
    <t xml:space="preserve">NIP251103847059</t>
  </si>
  <si>
    <t xml:space="preserve">NIP TRF FROM KANO WHOLESALE HUB/INV 1342</t>
  </si>
  <si>
    <t xml:space="preserve">CSH251103673810</t>
  </si>
  <si>
    <t xml:space="preserve">POS251103506770</t>
  </si>
  <si>
    <t xml:space="preserve">POS PURCHASE - PETRO STATION 1719 IKEJA</t>
  </si>
  <si>
    <t xml:space="preserve">POS251104172749</t>
  </si>
  <si>
    <t xml:space="preserve">POS PURCHASE - PETRO STATION 1689 IKEJA</t>
  </si>
  <si>
    <t xml:space="preserve">NIP251105936546</t>
  </si>
  <si>
    <t xml:space="preserve">NIP TRF FROM DELTA FRESH MART/INV 1350</t>
  </si>
  <si>
    <t xml:space="preserve">FT251105644718</t>
  </si>
  <si>
    <t xml:space="preserve">BROADBAND SUBSCRIPTION INV 70726</t>
  </si>
  <si>
    <t xml:space="preserve">NIP251105217220</t>
  </si>
  <si>
    <t xml:space="preserve">NIP TRF TO BRIGHTPRINT MEDIA/FLYERS 118</t>
  </si>
  <si>
    <t xml:space="preserve">FT251105685027</t>
  </si>
  <si>
    <t xml:space="preserve">FX PURCHASE USD 6,000 @ N1,540.00 FORM M 2025</t>
  </si>
  <si>
    <t xml:space="preserve">FT251105572780</t>
  </si>
  <si>
    <t xml:space="preserve">COMMISSION ON FX / SWIFT CHARGES</t>
  </si>
  <si>
    <t xml:space="preserve">POS251106997766</t>
  </si>
  <si>
    <t xml:space="preserve">POS SETTLEMENT MID 20517122 0611</t>
  </si>
  <si>
    <t xml:space="preserve">CHQ251107359229</t>
  </si>
  <si>
    <t xml:space="preserve">CASH WITHDRAWAL - CHQ 004540</t>
  </si>
  <si>
    <t xml:space="preserve">FT251110749974</t>
  </si>
  <si>
    <t xml:space="preserve">ONLINE GATEWAY SETTLEMENT BATCH 28553</t>
  </si>
  <si>
    <t xml:space="preserve">CHQ251110943497</t>
  </si>
  <si>
    <t xml:space="preserve">CHQ PAID 004539 - UNITY CHEMICALS LTD</t>
  </si>
  <si>
    <t xml:space="preserve">NIP251110528097</t>
  </si>
  <si>
    <t xml:space="preserve">NIP TRF TO ZENITH CRATES &amp; PALLETS/INV 4590</t>
  </si>
  <si>
    <t xml:space="preserve">FT251110093833</t>
  </si>
  <si>
    <t xml:space="preserve">LIRS PAYE REMITTANCE RRR 9987831462 OCT 2025</t>
  </si>
  <si>
    <t xml:space="preserve">FT251110858935</t>
  </si>
  <si>
    <t xml:space="preserve">POS251110470317</t>
  </si>
  <si>
    <t xml:space="preserve">POS PURCHASE - PETRO STATION 1394 IKEJA</t>
  </si>
  <si>
    <t xml:space="preserve">POS251110935049</t>
  </si>
  <si>
    <t xml:space="preserve">INTL POS - SOCIAL MEDIA ADS USD 238</t>
  </si>
  <si>
    <t xml:space="preserve">DD251110015336</t>
  </si>
  <si>
    <t xml:space="preserve">DIRECT DEBIT - LOAN REPAYMENT TL/2025/0310 INSTL 8</t>
  </si>
  <si>
    <t xml:space="preserve">NIP251111657434</t>
  </si>
  <si>
    <t xml:space="preserve">NIP TRF TO PINNACLE PACKAGING LTD/INV 4585</t>
  </si>
  <si>
    <t xml:space="preserve">CHQ251111280031</t>
  </si>
  <si>
    <t xml:space="preserve">CASH WITHDRAWAL - CHQ 004541</t>
  </si>
  <si>
    <t xml:space="preserve">POS251112126578</t>
  </si>
  <si>
    <t xml:space="preserve">POS PURCHASE - OFFICE STATIONERY 488</t>
  </si>
  <si>
    <t xml:space="preserve">POS251113134479</t>
  </si>
  <si>
    <t xml:space="preserve">POS SETTLEMENT MID 20511266 1311</t>
  </si>
  <si>
    <t xml:space="preserve">NIP251114336407</t>
  </si>
  <si>
    <t xml:space="preserve">NIP TRF TO NOVA AGRO IMPORTS LTD/INV 4583</t>
  </si>
  <si>
    <t xml:space="preserve">FT251114263993</t>
  </si>
  <si>
    <t xml:space="preserve">POWER DISCO PREPAID VEND MTR 4521474</t>
  </si>
  <si>
    <t xml:space="preserve">NIP251117023957</t>
  </si>
  <si>
    <t xml:space="preserve">NIP TRF FROM PRIME HOSPITALITY LTD/INV 1329</t>
  </si>
  <si>
    <t xml:space="preserve">NIP251117674842</t>
  </si>
  <si>
    <t xml:space="preserve">NIP TRF FROM PRIME HOSPITALITY LTD/INV 1337</t>
  </si>
  <si>
    <t xml:space="preserve">FT251117471592</t>
  </si>
  <si>
    <t xml:space="preserve">PFA PENSION CONTRIBUTION OCT 2025 BULK</t>
  </si>
  <si>
    <t xml:space="preserve">NIP251118973660</t>
  </si>
  <si>
    <t xml:space="preserve">NIP TRF FROM IBADAN TRADERS COOP/INV 1359</t>
  </si>
  <si>
    <t xml:space="preserve">NIP251118902011</t>
  </si>
  <si>
    <t xml:space="preserve">NIP TRF TO APEX LOGISTICS NIG LTD/INV 4577</t>
  </si>
  <si>
    <t xml:space="preserve">NIP251119061837</t>
  </si>
  <si>
    <t xml:space="preserve">NIP TRF FROM MRS BALOGUN</t>
  </si>
  <si>
    <t xml:space="preserve">POS251120369906</t>
  </si>
  <si>
    <t xml:space="preserve">POS SETTLEMENT MID 20515053 2011</t>
  </si>
  <si>
    <t xml:space="preserve">CSH251120226925</t>
  </si>
  <si>
    <t xml:space="preserve">NIP251121974056</t>
  </si>
  <si>
    <t xml:space="preserve">NIP TRF FROM ABUJA CATERING SERVICES/INV 1330</t>
  </si>
  <si>
    <t xml:space="preserve">FT251121034021</t>
  </si>
  <si>
    <t xml:space="preserve">FIRS VAT REMITTANCE RRR 4916772121 OCT 2025</t>
  </si>
  <si>
    <t xml:space="preserve">FT251124234791</t>
  </si>
  <si>
    <t xml:space="preserve">ONLINE GATEWAY SETTLEMENT BATCH 14589</t>
  </si>
  <si>
    <t xml:space="preserve">FT251124428316</t>
  </si>
  <si>
    <t xml:space="preserve">FIRS WHT REMITTANCE RRR 5289072955</t>
  </si>
  <si>
    <t xml:space="preserve">POS251124682957</t>
  </si>
  <si>
    <t xml:space="preserve">POS PURCHASE - PETRO STATION 1239 IKEJA</t>
  </si>
  <si>
    <t xml:space="preserve">NIP251125460845</t>
  </si>
  <si>
    <t xml:space="preserve">NIP TRF TO OLUWASEUN ADEBAYO/REFUND</t>
  </si>
  <si>
    <t xml:space="preserve">POS251127463664</t>
  </si>
  <si>
    <t xml:space="preserve">POS SETTLEMENT MID 20511639 2711</t>
  </si>
  <si>
    <t xml:space="preserve">FT251127648962</t>
  </si>
  <si>
    <t xml:space="preserve">BULK PAYMENT - STAFF SALARIES NOV 2025</t>
  </si>
  <si>
    <t xml:space="preserve">FT251128129337</t>
  </si>
  <si>
    <t xml:space="preserve">ACCOUNT MAINTENANCE FEE NOV 2025</t>
  </si>
  <si>
    <t xml:space="preserve">FT251128116938</t>
  </si>
  <si>
    <t xml:space="preserve">NIP251128037603</t>
  </si>
  <si>
    <t xml:space="preserve">FT251128985458</t>
  </si>
  <si>
    <t xml:space="preserve">FT251128119099</t>
  </si>
  <si>
    <t xml:space="preserve">POS251202599289</t>
  </si>
  <si>
    <t xml:space="preserve">POS PURCHASE - PETRO STATION 1030 IKEJA</t>
  </si>
  <si>
    <t xml:space="preserve">NIP251203771249</t>
  </si>
  <si>
    <t xml:space="preserve">NIP TRF FROM LEKKI MINI MART/INV 1371</t>
  </si>
  <si>
    <t xml:space="preserve">CSH251204555546</t>
  </si>
  <si>
    <t xml:space="preserve">CDM DEPOSIT 9179</t>
  </si>
  <si>
    <t xml:space="preserve">NIP251204060682</t>
  </si>
  <si>
    <t xml:space="preserve">NIP TRF TO BRIGHTPRINT MEDIA/FLYERS 892</t>
  </si>
  <si>
    <t xml:space="preserve">FT251205988664</t>
  </si>
  <si>
    <t xml:space="preserve">BROADBAND SUBSCRIPTION INV 93458</t>
  </si>
  <si>
    <t xml:space="preserve">NIP251208539846</t>
  </si>
  <si>
    <t xml:space="preserve">NIP TRF FROM LEKKI MINI MART/INV 1384</t>
  </si>
  <si>
    <t xml:space="preserve">POS251208939305</t>
  </si>
  <si>
    <t xml:space="preserve">POS SETTLEMENT MID 20517965 0812</t>
  </si>
  <si>
    <t xml:space="preserve">FT251208975735</t>
  </si>
  <si>
    <t xml:space="preserve">POWER DISCO PREPAID VEND MTR 4521469</t>
  </si>
  <si>
    <t xml:space="preserve">FT251208612555</t>
  </si>
  <si>
    <t xml:space="preserve">POWER DISCO PREPAID VEND MTR 4521145</t>
  </si>
  <si>
    <t xml:space="preserve">POS251208304153</t>
  </si>
  <si>
    <t xml:space="preserve">POS PURCHASE - PETRO STATION 1147 IKEJA</t>
  </si>
  <si>
    <t xml:space="preserve">FT251209917221</t>
  </si>
  <si>
    <t xml:space="preserve">ONLINE GATEWAY SETTLEMENT BATCH 61977</t>
  </si>
  <si>
    <t xml:space="preserve">NIP251210102697</t>
  </si>
  <si>
    <t xml:space="preserve">NIP TRF FROM KANO WHOLESALE HUB/INV 1368</t>
  </si>
  <si>
    <t xml:space="preserve">NIP251210155946</t>
  </si>
  <si>
    <t xml:space="preserve">NIP TRF TO UNITY CHEMICALS LTD/INV 4601</t>
  </si>
  <si>
    <t xml:space="preserve">FT251210825343</t>
  </si>
  <si>
    <t xml:space="preserve">LIRS PAYE REMITTANCE RRR 9715202354 NOV 2025</t>
  </si>
  <si>
    <t xml:space="preserve">DD251210170430</t>
  </si>
  <si>
    <t xml:space="preserve">DIRECT DEBIT - LOAN REPAYMENT TL/2025/0310 INSTL 9</t>
  </si>
  <si>
    <t xml:space="preserve">POS251212141942</t>
  </si>
  <si>
    <t xml:space="preserve">POS PURCHASE - OFFICE STATIONERY 177</t>
  </si>
  <si>
    <t xml:space="preserve">NIP251212447284</t>
  </si>
  <si>
    <t xml:space="preserve">NIP251215401858</t>
  </si>
  <si>
    <t xml:space="preserve">NIP TRF FROM OJO &amp; SONS ENT/INV 1387</t>
  </si>
  <si>
    <t xml:space="preserve">NIP251215393400</t>
  </si>
  <si>
    <t xml:space="preserve">NIP TRF FROM DELTA FRESH MART/INV 1405</t>
  </si>
  <si>
    <t xml:space="preserve">POS251215897461</t>
  </si>
  <si>
    <t xml:space="preserve">POS SETTLEMENT MID 20513460 1512</t>
  </si>
  <si>
    <t xml:space="preserve">CSH251215530991</t>
  </si>
  <si>
    <t xml:space="preserve">CSH251215426813</t>
  </si>
  <si>
    <t xml:space="preserve">CHQ251215939029</t>
  </si>
  <si>
    <t xml:space="preserve">CHQ PAID 004542 - PINNACLE PACKAGING LTD</t>
  </si>
  <si>
    <t xml:space="preserve">NIP251215165404</t>
  </si>
  <si>
    <t xml:space="preserve">NIP TRF TO KEMI PLASTICS LTD/INV 4599</t>
  </si>
  <si>
    <t xml:space="preserve">FT251215628779</t>
  </si>
  <si>
    <t xml:space="preserve">PFA PENSION CONTRIBUTION NOV 2025 BULK</t>
  </si>
  <si>
    <t xml:space="preserve">POS251215838668</t>
  </si>
  <si>
    <t xml:space="preserve">INTL POS - SOCIAL MEDIA ADS USD 182</t>
  </si>
  <si>
    <t xml:space="preserve">CHQ251216979016</t>
  </si>
  <si>
    <t xml:space="preserve">CASH WITHDRAWAL - CHQ 004544</t>
  </si>
  <si>
    <t xml:space="preserve">NIP251217800861</t>
  </si>
  <si>
    <t xml:space="preserve">NIP251219821933</t>
  </si>
  <si>
    <t xml:space="preserve">NIP TRF TO UNITY CHEMICALS LTD/INV 4597</t>
  </si>
  <si>
    <t xml:space="preserve">FT251219840049</t>
  </si>
  <si>
    <t xml:space="preserve">BULK PAYMENT - 13TH MONTH BONUS DEC 2025</t>
  </si>
  <si>
    <t xml:space="preserve">POS251222793768</t>
  </si>
  <si>
    <t xml:space="preserve">POS SETTLEMENT MID 20519283 2212</t>
  </si>
  <si>
    <t xml:space="preserve">FT251222967565</t>
  </si>
  <si>
    <t xml:space="preserve">FIRS VAT REMITTANCE RRR 3515760669 NOV 2025</t>
  </si>
  <si>
    <t xml:space="preserve">FT251222197637</t>
  </si>
  <si>
    <t xml:space="preserve">FIRS WHT REMITTANCE RRR 1606731444</t>
  </si>
  <si>
    <t xml:space="preserve">CHQ251222529184</t>
  </si>
  <si>
    <t xml:space="preserve">CASH WITHDRAWAL - CHQ 004543</t>
  </si>
  <si>
    <t xml:space="preserve">FT251223462015</t>
  </si>
  <si>
    <t xml:space="preserve">ONLINE GATEWAY SETTLEMENT BATCH 38172</t>
  </si>
  <si>
    <t xml:space="preserve">POS251224908515</t>
  </si>
  <si>
    <t xml:space="preserve">POS PURCHASE - PETRO STATION 1207 IKEJA</t>
  </si>
  <si>
    <t xml:space="preserve">NIP251226792088</t>
  </si>
  <si>
    <t xml:space="preserve">NIP TRF FROM BRIGHTWAY SCHOOLS/INV 1375</t>
  </si>
  <si>
    <t xml:space="preserve">NIP251226294413</t>
  </si>
  <si>
    <t xml:space="preserve">NIP TRF FROM LEKKI MINI MART/INV 1396</t>
  </si>
  <si>
    <t xml:space="preserve">NIP251229851938</t>
  </si>
  <si>
    <t xml:space="preserve">NIP TRF FROM DELTA FRESH MART/INV 1379</t>
  </si>
  <si>
    <t xml:space="preserve">POS251229993663</t>
  </si>
  <si>
    <t xml:space="preserve">POS SETTLEMENT MID 20513017 2912</t>
  </si>
  <si>
    <t xml:space="preserve">FT251229244131</t>
  </si>
  <si>
    <t xml:space="preserve">BULK PAYMENT - STAFF SALARIES DEC 2025</t>
  </si>
  <si>
    <t xml:space="preserve">POS251229317708</t>
  </si>
  <si>
    <t xml:space="preserve">POS PURCHASE - PETRO STATION 1027 IKEJA</t>
  </si>
  <si>
    <t xml:space="preserve">FT251231167668</t>
  </si>
  <si>
    <t xml:space="preserve">FT251231368099</t>
  </si>
  <si>
    <t xml:space="preserve">ACCOUNT MAINTENANCE FEE DEC 2025</t>
  </si>
  <si>
    <t xml:space="preserve">FT251231442941</t>
  </si>
  <si>
    <t xml:space="preserve">NIP251231550234</t>
  </si>
  <si>
    <t xml:space="preserve">FT251231140734</t>
  </si>
  <si>
    <t xml:space="preserve">FT251231478065</t>
  </si>
  <si>
    <t xml:space="preserve">TOTALS / CLOSING BALANCE</t>
  </si>
  <si>
    <t xml:space="preserve">LAGOSMART DISTRIBUTION LTD - CASH BOOK (BANK ACCOUNT) 2025</t>
  </si>
  <si>
    <t xml:space="preserve">Company records. Compare with the bank statement.</t>
  </si>
  <si>
    <t xml:space="preserve">Opening balance b/f</t>
  </si>
  <si>
    <t xml:space="preserve">Book Ref</t>
  </si>
  <si>
    <t xml:space="preserve">Date</t>
  </si>
  <si>
    <t xml:space="preserve">Description</t>
  </si>
  <si>
    <t xml:space="preserve">Receipts (NGN)</t>
  </si>
  <si>
    <t xml:space="preserve">Payments (NGN)</t>
  </si>
  <si>
    <t xml:space="preserve">CB-0001</t>
  </si>
  <si>
    <t xml:space="preserve">Receipt - Delta Fresh Mart Inv 1051</t>
  </si>
  <si>
    <t xml:space="preserve">CB-0002</t>
  </si>
  <si>
    <t xml:space="preserve">Warehouse rent 2025</t>
  </si>
  <si>
    <t xml:space="preserve">CB-0003</t>
  </si>
  <si>
    <t xml:space="preserve">Receipt - Brightway Schools Inv 1067</t>
  </si>
  <si>
    <t xml:space="preserve">CB-0004</t>
  </si>
  <si>
    <t xml:space="preserve">Receipt - Delta Fresh Mart Inv 1068</t>
  </si>
  <si>
    <t xml:space="preserve">CB-0005</t>
  </si>
  <si>
    <t xml:space="preserve">Receipt - Kano Wholesale Hub Inv 1049</t>
  </si>
  <si>
    <t xml:space="preserve">CB-0006</t>
  </si>
  <si>
    <t xml:space="preserve">POS sales settlement</t>
  </si>
  <si>
    <t xml:space="preserve">CB-0007</t>
  </si>
  <si>
    <t xml:space="preserve">Internet subscription</t>
  </si>
  <si>
    <t xml:space="preserve">CB-0008</t>
  </si>
  <si>
    <t xml:space="preserve">Receipt - Greenfield Stores Ltd Inv 1079</t>
  </si>
  <si>
    <t xml:space="preserve">CB-0009</t>
  </si>
  <si>
    <t xml:space="preserve">Shop rent Q1</t>
  </si>
  <si>
    <t xml:space="preserve">CB-0010</t>
  </si>
  <si>
    <t xml:space="preserve">Online sales settlement</t>
  </si>
  <si>
    <t xml:space="preserve">CB-0011</t>
  </si>
  <si>
    <t xml:space="preserve">Diesel / fuel</t>
  </si>
  <si>
    <t xml:space="preserve">CB-0012</t>
  </si>
  <si>
    <t xml:space="preserve">Receipt - Prime Hospitality Ltd Inv 1077</t>
  </si>
  <si>
    <t xml:space="preserve">CB-0013</t>
  </si>
  <si>
    <t xml:space="preserve">Cash sales banked</t>
  </si>
  <si>
    <t xml:space="preserve">CB-0014</t>
  </si>
  <si>
    <t xml:space="preserve">PAYE Dec 2024</t>
  </si>
  <si>
    <t xml:space="preserve">CB-0015</t>
  </si>
  <si>
    <t xml:space="preserve">CB-0016</t>
  </si>
  <si>
    <t xml:space="preserve">Pension Dec 2024</t>
  </si>
  <si>
    <t xml:space="preserve">CB-0017</t>
  </si>
  <si>
    <t xml:space="preserve">CB-0018</t>
  </si>
  <si>
    <t xml:space="preserve">Payment - Kemi Plastics Ltd</t>
  </si>
  <si>
    <t xml:space="preserve">CB-0019</t>
  </si>
  <si>
    <t xml:space="preserve">CB-0020</t>
  </si>
  <si>
    <t xml:space="preserve">Stationery</t>
  </si>
  <si>
    <t xml:space="preserve">CB-0021</t>
  </si>
  <si>
    <t xml:space="preserve">Receipt - Delta Fresh Mart Inv 1058</t>
  </si>
  <si>
    <t xml:space="preserve">CB-0022</t>
  </si>
  <si>
    <t xml:space="preserve">Payment - Pinnacle Packaging Ltd</t>
  </si>
  <si>
    <t xml:space="preserve">CB-0023</t>
  </si>
  <si>
    <t xml:space="preserve">Payment - Unity Chemicals Ltd</t>
  </si>
  <si>
    <t xml:space="preserve">CB-0024</t>
  </si>
  <si>
    <t xml:space="preserve">Advertising</t>
  </si>
  <si>
    <t xml:space="preserve">CB-0025</t>
  </si>
  <si>
    <t xml:space="preserve">CB-0026</t>
  </si>
  <si>
    <t xml:space="preserve">Electricity prepaid</t>
  </si>
  <si>
    <t xml:space="preserve">CB-0027</t>
  </si>
  <si>
    <t xml:space="preserve">CB-0028</t>
  </si>
  <si>
    <t xml:space="preserve">Payment - Zenith Crates &amp; Pallets</t>
  </si>
  <si>
    <t xml:space="preserve">CB-0029</t>
  </si>
  <si>
    <t xml:space="preserve">CB-0030</t>
  </si>
  <si>
    <t xml:space="preserve">CB-0031</t>
  </si>
  <si>
    <t xml:space="preserve">CB-0032</t>
  </si>
  <si>
    <t xml:space="preserve">VAT Dec 2024</t>
  </si>
  <si>
    <t xml:space="preserve">CB-0033</t>
  </si>
  <si>
    <t xml:space="preserve">Petty cash float</t>
  </si>
  <si>
    <t xml:space="preserve">CB-0034</t>
  </si>
  <si>
    <t xml:space="preserve">WHT remittance</t>
  </si>
  <si>
    <t xml:space="preserve">CB-0035</t>
  </si>
  <si>
    <t xml:space="preserve">CB-0036</t>
  </si>
  <si>
    <t xml:space="preserve">CB-0037</t>
  </si>
  <si>
    <t xml:space="preserve">CB-0038</t>
  </si>
  <si>
    <t xml:space="preserve">Receipt - sales (per bank)</t>
  </si>
  <si>
    <t xml:space="preserve">CB-0039</t>
  </si>
  <si>
    <t xml:space="preserve">CB-0040</t>
  </si>
  <si>
    <t xml:space="preserve">CB-0041</t>
  </si>
  <si>
    <t xml:space="preserve">Net salaries Jan 2025</t>
  </si>
  <si>
    <t xml:space="preserve">CB-0042</t>
  </si>
  <si>
    <t xml:space="preserve">CB-0043</t>
  </si>
  <si>
    <t xml:space="preserve">CB-0044</t>
  </si>
  <si>
    <t xml:space="preserve">Bank charges &amp; stamp duty Jan 2025</t>
  </si>
  <si>
    <t xml:space="preserve">CB-0045</t>
  </si>
  <si>
    <t xml:space="preserve">CB-0046</t>
  </si>
  <si>
    <t xml:space="preserve">CB-0047</t>
  </si>
  <si>
    <t xml:space="preserve">Receipt - Abuja Catering Services Inv 1082</t>
  </si>
  <si>
    <t xml:space="preserve">CB-0048</t>
  </si>
  <si>
    <t xml:space="preserve">CB-0049</t>
  </si>
  <si>
    <t xml:space="preserve">CB-0050</t>
  </si>
  <si>
    <t xml:space="preserve">Payment - Golden Harvest Foods Ltd</t>
  </si>
  <si>
    <t xml:space="preserve">CB-0051</t>
  </si>
  <si>
    <t xml:space="preserve">CB-0052</t>
  </si>
  <si>
    <t xml:space="preserve">Receipt - Delta Fresh Mart Inv 1095</t>
  </si>
  <si>
    <t xml:space="preserve">CB-0053</t>
  </si>
  <si>
    <t xml:space="preserve">Receipt - Sunrise Pharma Ltd Inv 1112</t>
  </si>
  <si>
    <t xml:space="preserve">CB-0054</t>
  </si>
  <si>
    <t xml:space="preserve">PAYE Jan 2025</t>
  </si>
  <si>
    <t xml:space="preserve">CB-0055</t>
  </si>
  <si>
    <t xml:space="preserve">CB-0056</t>
  </si>
  <si>
    <t xml:space="preserve">CB-0057</t>
  </si>
  <si>
    <t xml:space="preserve">CB-0058</t>
  </si>
  <si>
    <t xml:space="preserve">Receipt - Greenfield Stores Ltd Inv 1089</t>
  </si>
  <si>
    <t xml:space="preserve">CB-0059</t>
  </si>
  <si>
    <t xml:space="preserve">CB-0060</t>
  </si>
  <si>
    <t xml:space="preserve">Generator 60KVA</t>
  </si>
  <si>
    <t xml:space="preserve">CB-0061</t>
  </si>
  <si>
    <t xml:space="preserve">CB-0062</t>
  </si>
  <si>
    <t xml:space="preserve">Payment - Apex Logistics Nig Ltd</t>
  </si>
  <si>
    <t xml:space="preserve">CB-0063</t>
  </si>
  <si>
    <t xml:space="preserve">CB-0064</t>
  </si>
  <si>
    <t xml:space="preserve">Pension Jan 2025</t>
  </si>
  <si>
    <t xml:space="preserve">CB-0065</t>
  </si>
  <si>
    <t xml:space="preserve">Payment - Nova Agro Imports Ltd</t>
  </si>
  <si>
    <t xml:space="preserve">CB-0066</t>
  </si>
  <si>
    <t xml:space="preserve">CB-0067</t>
  </si>
  <si>
    <t xml:space="preserve">Director funding</t>
  </si>
  <si>
    <t xml:space="preserve">CB-0068</t>
  </si>
  <si>
    <t xml:space="preserve">CB-0069</t>
  </si>
  <si>
    <t xml:space="preserve">CB-0070</t>
  </si>
  <si>
    <t xml:space="preserve">VAT Jan 2025</t>
  </si>
  <si>
    <t xml:space="preserve">CB-0071</t>
  </si>
  <si>
    <t xml:space="preserve">CB-0072</t>
  </si>
  <si>
    <t xml:space="preserve">Director upkeep</t>
  </si>
  <si>
    <t xml:space="preserve">CB-0073</t>
  </si>
  <si>
    <t xml:space="preserve">Receipt - Kano Wholesale Hub Inv 1087</t>
  </si>
  <si>
    <t xml:space="preserve">CB-0074</t>
  </si>
  <si>
    <t xml:space="preserve">Receipt - Sunrise Pharma Ltd Inv 1104</t>
  </si>
  <si>
    <t xml:space="preserve">CB-0075</t>
  </si>
  <si>
    <t xml:space="preserve">CB-0076</t>
  </si>
  <si>
    <t xml:space="preserve">CB-0077</t>
  </si>
  <si>
    <t xml:space="preserve">CHQ 004513 Kemi Plastics Ltd Inv 4433</t>
  </si>
  <si>
    <t xml:space="preserve">CB-0078</t>
  </si>
  <si>
    <t xml:space="preserve">Receipt - Ojo &amp; Sons Ent Inv 1094</t>
  </si>
  <si>
    <t xml:space="preserve">CB-0079</t>
  </si>
  <si>
    <t xml:space="preserve">CB-0080</t>
  </si>
  <si>
    <t xml:space="preserve">Net salaries Feb 2025</t>
  </si>
  <si>
    <t xml:space="preserve">CB-0081</t>
  </si>
  <si>
    <t xml:space="preserve">CB-0082</t>
  </si>
  <si>
    <t xml:space="preserve">CB-0083</t>
  </si>
  <si>
    <t xml:space="preserve">CB-0084</t>
  </si>
  <si>
    <t xml:space="preserve">CB-0085</t>
  </si>
  <si>
    <t xml:space="preserve">Bank charges &amp; stamp duty Feb 2025</t>
  </si>
  <si>
    <t xml:space="preserve">CB-0086</t>
  </si>
  <si>
    <t xml:space="preserve">Receipt - Ibadan Traders Coop Inv 1115</t>
  </si>
  <si>
    <t xml:space="preserve">CB-0087</t>
  </si>
  <si>
    <t xml:space="preserve">Receipt - Brightway Schools Inv 1118</t>
  </si>
  <si>
    <t xml:space="preserve">CB-0088</t>
  </si>
  <si>
    <t xml:space="preserve">CB-0089</t>
  </si>
  <si>
    <t xml:space="preserve">CB-0090</t>
  </si>
  <si>
    <t xml:space="preserve">CB-0091</t>
  </si>
  <si>
    <t xml:space="preserve">Loan management fee</t>
  </si>
  <si>
    <t xml:space="preserve">CB-0092</t>
  </si>
  <si>
    <t xml:space="preserve">Receipt - unidentified</t>
  </si>
  <si>
    <t xml:space="preserve">CB-0093</t>
  </si>
  <si>
    <t xml:space="preserve">CB-0094</t>
  </si>
  <si>
    <t xml:space="preserve">VAT on loan fee</t>
  </si>
  <si>
    <t xml:space="preserve">CB-0095</t>
  </si>
  <si>
    <t xml:space="preserve">CB-0096</t>
  </si>
  <si>
    <t xml:space="preserve">Receipt - Ojo &amp; Sons Ent Inv 1129</t>
  </si>
  <si>
    <t xml:space="preserve">CB-0097</t>
  </si>
  <si>
    <t xml:space="preserve">CB-0098</t>
  </si>
  <si>
    <t xml:space="preserve">CB-0099</t>
  </si>
  <si>
    <t xml:space="preserve">PAYE Feb 2025</t>
  </si>
  <si>
    <t xml:space="preserve">CB-0100</t>
  </si>
  <si>
    <t xml:space="preserve">CB-0101</t>
  </si>
  <si>
    <t xml:space="preserve">Term loan received</t>
  </si>
  <si>
    <t xml:space="preserve">CB-0102</t>
  </si>
  <si>
    <t xml:space="preserve">Receipt - Lekki Mini Mart Inv 1126</t>
  </si>
  <si>
    <t xml:space="preserve">CB-0103</t>
  </si>
  <si>
    <t xml:space="preserve">CB-0104</t>
  </si>
  <si>
    <t xml:space="preserve">CB-0105</t>
  </si>
  <si>
    <t xml:space="preserve">CB-0106</t>
  </si>
  <si>
    <t xml:space="preserve">CB-0107</t>
  </si>
  <si>
    <t xml:space="preserve">Annual insurance premium</t>
  </si>
  <si>
    <t xml:space="preserve">CB-0108</t>
  </si>
  <si>
    <t xml:space="preserve">Repairs</t>
  </si>
  <si>
    <t xml:space="preserve">CB-0109</t>
  </si>
  <si>
    <t xml:space="preserve">CB-0110</t>
  </si>
  <si>
    <t xml:space="preserve">Pension Feb 2025</t>
  </si>
  <si>
    <t xml:space="preserve">CB-0111</t>
  </si>
  <si>
    <t xml:space="preserve">CB-0112</t>
  </si>
  <si>
    <t xml:space="preserve">CB-0113</t>
  </si>
  <si>
    <t xml:space="preserve">VAT Feb 2025</t>
  </si>
  <si>
    <t xml:space="preserve">CB-0114</t>
  </si>
  <si>
    <t xml:space="preserve">Receipt - Delta Fresh Mart Inv 1087</t>
  </si>
  <si>
    <t xml:space="preserve">CB-0115</t>
  </si>
  <si>
    <t xml:space="preserve">Receipt - Greenfield Stores Ltd Inv 1132</t>
  </si>
  <si>
    <t xml:space="preserve">CB-0116</t>
  </si>
  <si>
    <t xml:space="preserve">CB-0117</t>
  </si>
  <si>
    <t xml:space="preserve">Receipt - Delta Fresh Mart Inv 1133</t>
  </si>
  <si>
    <t xml:space="preserve">CB-0118</t>
  </si>
  <si>
    <t xml:space="preserve">CB-0119</t>
  </si>
  <si>
    <t xml:space="preserve">CB-0120</t>
  </si>
  <si>
    <t xml:space="preserve">CB-0121</t>
  </si>
  <si>
    <t xml:space="preserve">CB-0122</t>
  </si>
  <si>
    <t xml:space="preserve">CB-0123</t>
  </si>
  <si>
    <t xml:space="preserve">CB-0124</t>
  </si>
  <si>
    <t xml:space="preserve">CB-0125</t>
  </si>
  <si>
    <t xml:space="preserve">Payment for goods</t>
  </si>
  <si>
    <t xml:space="preserve">CB-0126</t>
  </si>
  <si>
    <t xml:space="preserve">CB-0127</t>
  </si>
  <si>
    <t xml:space="preserve">Net salaries Mar 2025</t>
  </si>
  <si>
    <t xml:space="preserve">CB-0128</t>
  </si>
  <si>
    <t xml:space="preserve">CHQ 004517 Unity Chemicals Ltd Inv 4448</t>
  </si>
  <si>
    <t xml:space="preserve">CB-0129</t>
  </si>
  <si>
    <t xml:space="preserve">CB-0130</t>
  </si>
  <si>
    <t xml:space="preserve">Bank charges &amp; stamp duty Mar 2025</t>
  </si>
  <si>
    <t xml:space="preserve">CB-0131</t>
  </si>
  <si>
    <t xml:space="preserve">Receipt - Lekki Mini Mart Inv 1141</t>
  </si>
  <si>
    <t xml:space="preserve">CB-0132</t>
  </si>
  <si>
    <t xml:space="preserve">Receipt - Sunrise Pharma Ltd Inv 1147</t>
  </si>
  <si>
    <t xml:space="preserve">CB-0133</t>
  </si>
  <si>
    <t xml:space="preserve">CB-0134</t>
  </si>
  <si>
    <t xml:space="preserve">CB-0135</t>
  </si>
  <si>
    <t xml:space="preserve">CB-0136</t>
  </si>
  <si>
    <t xml:space="preserve">Shop rent Q2</t>
  </si>
  <si>
    <t xml:space="preserve">CB-0137</t>
  </si>
  <si>
    <t xml:space="preserve">CB-0138</t>
  </si>
  <si>
    <t xml:space="preserve">CHQ 004519 Golden Harvest Foods Ltd Inv 4470</t>
  </si>
  <si>
    <t xml:space="preserve">CB-0139</t>
  </si>
  <si>
    <t xml:space="preserve">CB-0140</t>
  </si>
  <si>
    <t xml:space="preserve">Refund to Brightway</t>
  </si>
  <si>
    <t xml:space="preserve">CB-0141</t>
  </si>
  <si>
    <t xml:space="preserve">PAYE Mar 2025</t>
  </si>
  <si>
    <t xml:space="preserve">CB-0142</t>
  </si>
  <si>
    <t xml:space="preserve">CB-0143</t>
  </si>
  <si>
    <t xml:space="preserve">Loan repayment 1</t>
  </si>
  <si>
    <t xml:space="preserve">CB-0144</t>
  </si>
  <si>
    <t xml:space="preserve">CB-0145</t>
  </si>
  <si>
    <t xml:space="preserve">CB-0146</t>
  </si>
  <si>
    <t xml:space="preserve">CB-0147</t>
  </si>
  <si>
    <t xml:space="preserve">CB-0148</t>
  </si>
  <si>
    <t xml:space="preserve">CB-0149</t>
  </si>
  <si>
    <t xml:space="preserve">CB-0150</t>
  </si>
  <si>
    <t xml:space="preserve">CB-0151</t>
  </si>
  <si>
    <t xml:space="preserve">CB-0152</t>
  </si>
  <si>
    <t xml:space="preserve">Receipt - Ibadan Traders Coop Inv 1152</t>
  </si>
  <si>
    <t xml:space="preserve">CB-0153</t>
  </si>
  <si>
    <t xml:space="preserve">Pension Mar 2025</t>
  </si>
  <si>
    <t xml:space="preserve">CB-0154</t>
  </si>
  <si>
    <t xml:space="preserve">CHQ 004518 Apex Logistics Nig Ltd Inv 4459</t>
  </si>
  <si>
    <t xml:space="preserve">CB-0155</t>
  </si>
  <si>
    <t xml:space="preserve">CB-0156</t>
  </si>
  <si>
    <t xml:space="preserve">Receipt - Prime Hospitality Ltd Inv 1150</t>
  </si>
  <si>
    <t xml:space="preserve">CB-0157</t>
  </si>
  <si>
    <t xml:space="preserve">VAT Mar 2025</t>
  </si>
  <si>
    <t xml:space="preserve">CB-0158</t>
  </si>
  <si>
    <t xml:space="preserve">CB-0159</t>
  </si>
  <si>
    <t xml:space="preserve">CB-0160</t>
  </si>
  <si>
    <t xml:space="preserve">CB-0161</t>
  </si>
  <si>
    <t xml:space="preserve">CB-0162</t>
  </si>
  <si>
    <t xml:space="preserve">CB-0163</t>
  </si>
  <si>
    <t xml:space="preserve">CB-0164</t>
  </si>
  <si>
    <t xml:space="preserve">CB-0165</t>
  </si>
  <si>
    <t xml:space="preserve">CB-0166</t>
  </si>
  <si>
    <t xml:space="preserve">Receipt - Sunrise Pharma Ltd Inv 1138</t>
  </si>
  <si>
    <t xml:space="preserve">CB-0167</t>
  </si>
  <si>
    <t xml:space="preserve">Director drawings</t>
  </si>
  <si>
    <t xml:space="preserve">CB-0168</t>
  </si>
  <si>
    <t xml:space="preserve">CB-0169</t>
  </si>
  <si>
    <t xml:space="preserve">CB-0170</t>
  </si>
  <si>
    <t xml:space="preserve">Net salaries Apr 2025</t>
  </si>
  <si>
    <t xml:space="preserve">CB-0171</t>
  </si>
  <si>
    <t xml:space="preserve">Receipt - Delta Fresh Mart Inv 1168</t>
  </si>
  <si>
    <t xml:space="preserve">CB-0172</t>
  </si>
  <si>
    <t xml:space="preserve">Bank charges &amp; stamp duty Apr 2025</t>
  </si>
  <si>
    <t xml:space="preserve">CB-0173</t>
  </si>
  <si>
    <t xml:space="preserve">Receipt - Greenfield Stores Ltd Inv 1161</t>
  </si>
  <si>
    <t xml:space="preserve">CB-0174</t>
  </si>
  <si>
    <t xml:space="preserve">CB-0175</t>
  </si>
  <si>
    <t xml:space="preserve">CB-0176</t>
  </si>
  <si>
    <t xml:space="preserve">CB-0177</t>
  </si>
  <si>
    <t xml:space="preserve">CB-0178</t>
  </si>
  <si>
    <t xml:space="preserve">CB-0179</t>
  </si>
  <si>
    <t xml:space="preserve">CB-0180</t>
  </si>
  <si>
    <t xml:space="preserve">CB-0181</t>
  </si>
  <si>
    <t xml:space="preserve">PAYE Apr 2025</t>
  </si>
  <si>
    <t xml:space="preserve">CB-0182</t>
  </si>
  <si>
    <t xml:space="preserve">CB-0183</t>
  </si>
  <si>
    <t xml:space="preserve">CB-0184</t>
  </si>
  <si>
    <t xml:space="preserve">Loan repayment 2</t>
  </si>
  <si>
    <t xml:space="preserve">CB-0185</t>
  </si>
  <si>
    <t xml:space="preserve">CB-0186</t>
  </si>
  <si>
    <t xml:space="preserve">CB-0187</t>
  </si>
  <si>
    <t xml:space="preserve">Pension Apr 2025</t>
  </si>
  <si>
    <t xml:space="preserve">CB-0188</t>
  </si>
  <si>
    <t xml:space="preserve">Receipt - Greenfield Stores Ltd Inv 1176</t>
  </si>
  <si>
    <t xml:space="preserve">CB-0189</t>
  </si>
  <si>
    <t xml:space="preserve">Receipt - Prime Hospitality Inv 1109 (full)</t>
  </si>
  <si>
    <t xml:space="preserve">CB-0190</t>
  </si>
  <si>
    <t xml:space="preserve">CB-0191</t>
  </si>
  <si>
    <t xml:space="preserve">CB-0192</t>
  </si>
  <si>
    <t xml:space="preserve">CB-0193</t>
  </si>
  <si>
    <t xml:space="preserve">CB-0194</t>
  </si>
  <si>
    <t xml:space="preserve">CB-0195</t>
  </si>
  <si>
    <t xml:space="preserve">CB-0196</t>
  </si>
  <si>
    <t xml:space="preserve">CB-0197</t>
  </si>
  <si>
    <t xml:space="preserve">CB-0198</t>
  </si>
  <si>
    <t xml:space="preserve">Refund from Kemi Plastics</t>
  </si>
  <si>
    <t xml:space="preserve">CB-0199</t>
  </si>
  <si>
    <t xml:space="preserve">CB-0200</t>
  </si>
  <si>
    <t xml:space="preserve">CB-0201</t>
  </si>
  <si>
    <t xml:space="preserve">CB-0202</t>
  </si>
  <si>
    <t xml:space="preserve">VAT Apr 2025</t>
  </si>
  <si>
    <t xml:space="preserve">CB-0203</t>
  </si>
  <si>
    <t xml:space="preserve">CB-0204</t>
  </si>
  <si>
    <t xml:space="preserve">CB-0205</t>
  </si>
  <si>
    <t xml:space="preserve">CB-0206</t>
  </si>
  <si>
    <t xml:space="preserve">Receipt - Delta Fresh Mart Inv 1159</t>
  </si>
  <si>
    <t xml:space="preserve">CB-0207</t>
  </si>
  <si>
    <t xml:space="preserve">CB-0208</t>
  </si>
  <si>
    <t xml:space="preserve">CB-0209</t>
  </si>
  <si>
    <t xml:space="preserve">Net salaries May 2025</t>
  </si>
  <si>
    <t xml:space="preserve">CB-0210</t>
  </si>
  <si>
    <t xml:space="preserve">CB-0211</t>
  </si>
  <si>
    <t xml:space="preserve">CHQ 004523 Unity Chemicals Ltd Inv 4480</t>
  </si>
  <si>
    <t xml:space="preserve">CB-0212</t>
  </si>
  <si>
    <t xml:space="preserve">CB-0213</t>
  </si>
  <si>
    <t xml:space="preserve">Bank charges &amp; stamp duty May 2025</t>
  </si>
  <si>
    <t xml:space="preserve">CB-0214</t>
  </si>
  <si>
    <t xml:space="preserve">CB-0215</t>
  </si>
  <si>
    <t xml:space="preserve">CB-0216</t>
  </si>
  <si>
    <t xml:space="preserve">Receipt - Brightway Schools Inv 1192</t>
  </si>
  <si>
    <t xml:space="preserve">CB-0217</t>
  </si>
  <si>
    <t xml:space="preserve">CB-0218</t>
  </si>
  <si>
    <t xml:space="preserve">CB-0219</t>
  </si>
  <si>
    <t xml:space="preserve">CB-0220</t>
  </si>
  <si>
    <t xml:space="preserve">Delivery van - deposit</t>
  </si>
  <si>
    <t xml:space="preserve">CB-0221</t>
  </si>
  <si>
    <t xml:space="preserve">Loan repayment 3</t>
  </si>
  <si>
    <t xml:space="preserve">CB-0222</t>
  </si>
  <si>
    <t xml:space="preserve">Receipt - Sunrise Pharma Ltd Inv 1207</t>
  </si>
  <si>
    <t xml:space="preserve">CB-0223</t>
  </si>
  <si>
    <t xml:space="preserve">CB-0224</t>
  </si>
  <si>
    <t xml:space="preserve">PAYE May 2025</t>
  </si>
  <si>
    <t xml:space="preserve">CB-0225</t>
  </si>
  <si>
    <t xml:space="preserve">Receipt - Ibadan Traders Coop Inv 1202</t>
  </si>
  <si>
    <t xml:space="preserve">CB-0226</t>
  </si>
  <si>
    <t xml:space="preserve">CB-0227</t>
  </si>
  <si>
    <t xml:space="preserve">CB-0228</t>
  </si>
  <si>
    <t xml:space="preserve">CB-0229</t>
  </si>
  <si>
    <t xml:space="preserve">Receipt - Prime Hospitality Ltd Inv 1196</t>
  </si>
  <si>
    <t xml:space="preserve">CB-0230</t>
  </si>
  <si>
    <t xml:space="preserve">CB-0231</t>
  </si>
  <si>
    <t xml:space="preserve">CB-0232</t>
  </si>
  <si>
    <t xml:space="preserve">CB-0233</t>
  </si>
  <si>
    <t xml:space="preserve">CB-0234</t>
  </si>
  <si>
    <t xml:space="preserve">CB-0235</t>
  </si>
  <si>
    <t xml:space="preserve">CIT FY2024</t>
  </si>
  <si>
    <t xml:space="preserve">CB-0236</t>
  </si>
  <si>
    <t xml:space="preserve">CB-0237</t>
  </si>
  <si>
    <t xml:space="preserve">Receipt - Greenfield Stores Ltd Inv 1183</t>
  </si>
  <si>
    <t xml:space="preserve">CB-0238</t>
  </si>
  <si>
    <t xml:space="preserve">Pension May 2025</t>
  </si>
  <si>
    <t xml:space="preserve">CB-0239</t>
  </si>
  <si>
    <t xml:space="preserve">CB-0240</t>
  </si>
  <si>
    <t xml:space="preserve">CB-0241</t>
  </si>
  <si>
    <t xml:space="preserve">CB-0242</t>
  </si>
  <si>
    <t xml:space="preserve">Transfer to savings</t>
  </si>
  <si>
    <t xml:space="preserve">CB-0243</t>
  </si>
  <si>
    <t xml:space="preserve">Payment - unidentified</t>
  </si>
  <si>
    <t xml:space="preserve">CB-0244</t>
  </si>
  <si>
    <t xml:space="preserve">CB-0245</t>
  </si>
  <si>
    <t xml:space="preserve">CB-0246</t>
  </si>
  <si>
    <t xml:space="preserve">VAT May 2025</t>
  </si>
  <si>
    <t xml:space="preserve">CB-0247</t>
  </si>
  <si>
    <t xml:space="preserve">CHQ 004524 Kemi Plastics Ltd Inv 4487</t>
  </si>
  <si>
    <t xml:space="preserve">CB-0248</t>
  </si>
  <si>
    <t xml:space="preserve">CB-0249</t>
  </si>
  <si>
    <t xml:space="preserve">CB-0250</t>
  </si>
  <si>
    <t xml:space="preserve">CB-0251</t>
  </si>
  <si>
    <t xml:space="preserve">CAC annual returns</t>
  </si>
  <si>
    <t xml:space="preserve">CB-0252</t>
  </si>
  <si>
    <t xml:space="preserve">CB-0253</t>
  </si>
  <si>
    <t xml:space="preserve">CB-0254</t>
  </si>
  <si>
    <t xml:space="preserve">CB-0255</t>
  </si>
  <si>
    <t xml:space="preserve">Net salaries Jun 2025</t>
  </si>
  <si>
    <t xml:space="preserve">CB-0256</t>
  </si>
  <si>
    <t xml:space="preserve">Bank charges &amp; stamp duty Jun 2025</t>
  </si>
  <si>
    <t xml:space="preserve">CB-0257</t>
  </si>
  <si>
    <t xml:space="preserve">CB-0258</t>
  </si>
  <si>
    <t xml:space="preserve">CB-0259</t>
  </si>
  <si>
    <t xml:space="preserve">CB-0260</t>
  </si>
  <si>
    <t xml:space="preserve">CB-0261</t>
  </si>
  <si>
    <t xml:space="preserve">CB-0262</t>
  </si>
  <si>
    <t xml:space="preserve">CB-0263</t>
  </si>
  <si>
    <t xml:space="preserve">CB-0264</t>
  </si>
  <si>
    <t xml:space="preserve">CB-0265</t>
  </si>
  <si>
    <t xml:space="preserve">CB-0266</t>
  </si>
  <si>
    <t xml:space="preserve">Shop rent Q3</t>
  </si>
  <si>
    <t xml:space="preserve">CB-0267</t>
  </si>
  <si>
    <t xml:space="preserve">CB-0268</t>
  </si>
  <si>
    <t xml:space="preserve">CHQ 004527 Zenith Crates &amp; Pallets Inv 4517</t>
  </si>
  <si>
    <t xml:space="preserve">CB-0269</t>
  </si>
  <si>
    <t xml:space="preserve">Receipt - Lekki Mini Mart Inv 1211</t>
  </si>
  <si>
    <t xml:space="preserve">CB-0270</t>
  </si>
  <si>
    <t xml:space="preserve">Loan repayment 4</t>
  </si>
  <si>
    <t xml:space="preserve">CB-0271</t>
  </si>
  <si>
    <t xml:space="preserve">CB-0272</t>
  </si>
  <si>
    <t xml:space="preserve">PAYE Jun 2025</t>
  </si>
  <si>
    <t xml:space="preserve">CB-0273</t>
  </si>
  <si>
    <t xml:space="preserve">CB-0274</t>
  </si>
  <si>
    <t xml:space="preserve">CB-0275</t>
  </si>
  <si>
    <t xml:space="preserve">CB-0276</t>
  </si>
  <si>
    <t xml:space="preserve">Payment - Pinnacle Packaging Inv 3309</t>
  </si>
  <si>
    <t xml:space="preserve">CB-0277</t>
  </si>
  <si>
    <t xml:space="preserve">Pension Jun 2025</t>
  </si>
  <si>
    <t xml:space="preserve">CB-0278</t>
  </si>
  <si>
    <t xml:space="preserve">Receipt - Ojo &amp; Sons Ent Inv 1215</t>
  </si>
  <si>
    <t xml:space="preserve">CB-0279</t>
  </si>
  <si>
    <t xml:space="preserve">Motor insurance</t>
  </si>
  <si>
    <t xml:space="preserve">CB-0280</t>
  </si>
  <si>
    <t xml:space="preserve">Delivery van - balance</t>
  </si>
  <si>
    <t xml:space="preserve">CB-0281</t>
  </si>
  <si>
    <t xml:space="preserve">CB-0282</t>
  </si>
  <si>
    <t xml:space="preserve">Receipt - Ibadan Traders Coop Inv 1225</t>
  </si>
  <si>
    <t xml:space="preserve">CB-0283</t>
  </si>
  <si>
    <t xml:space="preserve">CB-0284</t>
  </si>
  <si>
    <t xml:space="preserve">CB-0285</t>
  </si>
  <si>
    <t xml:space="preserve">Receipt - Sunrise Pharma Ltd Inv 1222</t>
  </si>
  <si>
    <t xml:space="preserve">CB-0286</t>
  </si>
  <si>
    <t xml:space="preserve">CB-0287</t>
  </si>
  <si>
    <t xml:space="preserve">CB-0288</t>
  </si>
  <si>
    <t xml:space="preserve">VAT Jun 2025</t>
  </si>
  <si>
    <t xml:space="preserve">CB-0289</t>
  </si>
  <si>
    <t xml:space="preserve">CB-0290</t>
  </si>
  <si>
    <t xml:space="preserve">CHQ 004526 Pinnacle Packaging Ltd Inv 4502</t>
  </si>
  <si>
    <t xml:space="preserve">CB-0291</t>
  </si>
  <si>
    <t xml:space="preserve">CB-0292</t>
  </si>
  <si>
    <t xml:space="preserve">CB-0293</t>
  </si>
  <si>
    <t xml:space="preserve">CB-0294</t>
  </si>
  <si>
    <t xml:space="preserve">CB-0295</t>
  </si>
  <si>
    <t xml:space="preserve">CB-0296</t>
  </si>
  <si>
    <t xml:space="preserve">Receipt - Prime Hospitality Ltd Inv 1208</t>
  </si>
  <si>
    <t xml:space="preserve">CB-0297</t>
  </si>
  <si>
    <t xml:space="preserve">CB-0298</t>
  </si>
  <si>
    <t xml:space="preserve">Net salaries Jul 2025</t>
  </si>
  <si>
    <t xml:space="preserve">CB-0299</t>
  </si>
  <si>
    <t xml:space="preserve">CHQ 004529 Unity Chemicals Ltd Inv 4525</t>
  </si>
  <si>
    <t xml:space="preserve">CB-0300</t>
  </si>
  <si>
    <t xml:space="preserve">Receipt - Greenfield Stores Ltd Inv 1234</t>
  </si>
  <si>
    <t xml:space="preserve">CB-0301</t>
  </si>
  <si>
    <t xml:space="preserve">Bank charges &amp; stamp duty Jul 2025</t>
  </si>
  <si>
    <t xml:space="preserve">CB-0302</t>
  </si>
  <si>
    <t xml:space="preserve">CB-0303</t>
  </si>
  <si>
    <t xml:space="preserve">CB-0304</t>
  </si>
  <si>
    <t xml:space="preserve">Payment - Unity Chemicals Inv 4630</t>
  </si>
  <si>
    <t xml:space="preserve">CB-0305</t>
  </si>
  <si>
    <t xml:space="preserve">Payment - Unity Chemicals Inv 4630 (dup)</t>
  </si>
  <si>
    <t xml:space="preserve">CB-0306</t>
  </si>
  <si>
    <t xml:space="preserve">CB-0307</t>
  </si>
  <si>
    <t xml:space="preserve">CB-0308</t>
  </si>
  <si>
    <t xml:space="preserve">Receipt - Prime Hospitality Ltd Inv 1264</t>
  </si>
  <si>
    <t xml:space="preserve">CB-0309</t>
  </si>
  <si>
    <t xml:space="preserve">Audit fee FY2024</t>
  </si>
  <si>
    <t xml:space="preserve">CB-0310</t>
  </si>
  <si>
    <t xml:space="preserve">CB-0311</t>
  </si>
  <si>
    <t xml:space="preserve">Receipt - Prime Hospitality Ltd Inv 1238</t>
  </si>
  <si>
    <t xml:space="preserve">CB-0312</t>
  </si>
  <si>
    <t xml:space="preserve">Receipt - Ibadan Traders Coop Inv 1243</t>
  </si>
  <si>
    <t xml:space="preserve">CB-0313</t>
  </si>
  <si>
    <t xml:space="preserve">Receipt - Greenfield Stores Ltd Inv 1259</t>
  </si>
  <si>
    <t xml:space="preserve">CB-0314</t>
  </si>
  <si>
    <t xml:space="preserve">CB-0315</t>
  </si>
  <si>
    <t xml:space="preserve">PAYE Jul 2025</t>
  </si>
  <si>
    <t xml:space="preserve">CB-0316</t>
  </si>
  <si>
    <t xml:space="preserve">Loan repayment 5</t>
  </si>
  <si>
    <t xml:space="preserve">CB-0317</t>
  </si>
  <si>
    <t xml:space="preserve">Receipt - Delta Fresh Mart Inv 1249</t>
  </si>
  <si>
    <t xml:space="preserve">CB-0318</t>
  </si>
  <si>
    <t xml:space="preserve">CB-0319</t>
  </si>
  <si>
    <t xml:space="preserve">CB-0320</t>
  </si>
  <si>
    <t xml:space="preserve">CB-0321</t>
  </si>
  <si>
    <t xml:space="preserve">Payment - Kemi Plastics Inv 2201</t>
  </si>
  <si>
    <t xml:space="preserve">CB-0322</t>
  </si>
  <si>
    <t xml:space="preserve">Payment - Kemi Plastics Inv 2207</t>
  </si>
  <si>
    <t xml:space="preserve">CB-0323</t>
  </si>
  <si>
    <t xml:space="preserve">CB-0324</t>
  </si>
  <si>
    <t xml:space="preserve">CB-0325</t>
  </si>
  <si>
    <t xml:space="preserve">Pension Jul 2025</t>
  </si>
  <si>
    <t xml:space="preserve">CB-0326</t>
  </si>
  <si>
    <t xml:space="preserve">CB-0327</t>
  </si>
  <si>
    <t xml:space="preserve">CB-0328</t>
  </si>
  <si>
    <t xml:space="preserve">CB-0329</t>
  </si>
  <si>
    <t xml:space="preserve">Receipt - Ojo &amp; Sons Ent Inv 1232</t>
  </si>
  <si>
    <t xml:space="preserve">CB-0330</t>
  </si>
  <si>
    <t xml:space="preserve">CB-0331</t>
  </si>
  <si>
    <t xml:space="preserve">Cheque deposit - Ojo &amp; Sons Ent</t>
  </si>
  <si>
    <t xml:space="preserve">CB-0332</t>
  </si>
  <si>
    <t xml:space="preserve">Receipt - Brightway Schools Inv 1254</t>
  </si>
  <si>
    <t xml:space="preserve">CB-0333</t>
  </si>
  <si>
    <t xml:space="preserve">CHQ 004530 Nova Agro Imports Ltd Inv 4530</t>
  </si>
  <si>
    <t xml:space="preserve">CB-0334</t>
  </si>
  <si>
    <t xml:space="preserve">CB-0335</t>
  </si>
  <si>
    <t xml:space="preserve">VAT Jul 2025</t>
  </si>
  <si>
    <t xml:space="preserve">CB-0336</t>
  </si>
  <si>
    <t xml:space="preserve">CB-0337</t>
  </si>
  <si>
    <t xml:space="preserve">CB-0338</t>
  </si>
  <si>
    <t xml:space="preserve">CB-0339</t>
  </si>
  <si>
    <t xml:space="preserve">CB-0340</t>
  </si>
  <si>
    <t xml:space="preserve">CB-0341</t>
  </si>
  <si>
    <t xml:space="preserve">CB-0342</t>
  </si>
  <si>
    <t xml:space="preserve">CB-0343</t>
  </si>
  <si>
    <t xml:space="preserve">School fees</t>
  </si>
  <si>
    <t xml:space="preserve">CB-0344</t>
  </si>
  <si>
    <t xml:space="preserve">CB-0345</t>
  </si>
  <si>
    <t xml:space="preserve">Net salaries Aug 2025</t>
  </si>
  <si>
    <t xml:space="preserve">CB-0346</t>
  </si>
  <si>
    <t xml:space="preserve">Bank charges &amp; stamp duty Aug 2025</t>
  </si>
  <si>
    <t xml:space="preserve">CB-0347</t>
  </si>
  <si>
    <t xml:space="preserve">CB-0348</t>
  </si>
  <si>
    <t xml:space="preserve">CB-0349</t>
  </si>
  <si>
    <t xml:space="preserve">CB-0350</t>
  </si>
  <si>
    <t xml:space="preserve">Receipt - Kano Wholesale Hub Inv 1281</t>
  </si>
  <si>
    <t xml:space="preserve">CB-0351</t>
  </si>
  <si>
    <t xml:space="preserve">CB-0352</t>
  </si>
  <si>
    <t xml:space="preserve">CB-0353</t>
  </si>
  <si>
    <t xml:space="preserve">CB-0354</t>
  </si>
  <si>
    <t xml:space="preserve">CB-0355</t>
  </si>
  <si>
    <t xml:space="preserve">CB-0356</t>
  </si>
  <si>
    <t xml:space="preserve">Loan repayment 6</t>
  </si>
  <si>
    <t xml:space="preserve">CB-0357</t>
  </si>
  <si>
    <t xml:space="preserve">CB-0358</t>
  </si>
  <si>
    <t xml:space="preserve">Director advance</t>
  </si>
  <si>
    <t xml:space="preserve">CB-0359</t>
  </si>
  <si>
    <t xml:space="preserve">CHQ 004532 Golden Harvest Foods Ltd Inv 4539</t>
  </si>
  <si>
    <t xml:space="preserve">CB-0360</t>
  </si>
  <si>
    <t xml:space="preserve">PAYE Aug 2025</t>
  </si>
  <si>
    <t xml:space="preserve">CB-0361</t>
  </si>
  <si>
    <t xml:space="preserve">Receipt - Delta Fresh Mart Inv 1291</t>
  </si>
  <si>
    <t xml:space="preserve">CB-0362</t>
  </si>
  <si>
    <t xml:space="preserve">CB-0363</t>
  </si>
  <si>
    <t xml:space="preserve">Receipt - Brightway Schools Inv 1265</t>
  </si>
  <si>
    <t xml:space="preserve">CB-0364</t>
  </si>
  <si>
    <t xml:space="preserve">Receipt - Lekki Mini Mart Inv 1273</t>
  </si>
  <si>
    <t xml:space="preserve">CB-0365</t>
  </si>
  <si>
    <t xml:space="preserve">CB-0366</t>
  </si>
  <si>
    <t xml:space="preserve">Receipt - Ibadan Traders Coop Inv 1287</t>
  </si>
  <si>
    <t xml:space="preserve">CB-0367</t>
  </si>
  <si>
    <t xml:space="preserve">Receipt - Abuja Catering Services Inv 1298</t>
  </si>
  <si>
    <t xml:space="preserve">CB-0368</t>
  </si>
  <si>
    <t xml:space="preserve">CB-0369</t>
  </si>
  <si>
    <t xml:space="preserve">Pension Aug 2025</t>
  </si>
  <si>
    <t xml:space="preserve">CB-0370</t>
  </si>
  <si>
    <t xml:space="preserve">CB-0371</t>
  </si>
  <si>
    <t xml:space="preserve">CHQ 004533 Unity Chemicals Ltd Inv 4544</t>
  </si>
  <si>
    <t xml:space="preserve">CB-0372</t>
  </si>
  <si>
    <t xml:space="preserve">Receipt - Abuja Catering Services Inv 1272</t>
  </si>
  <si>
    <t xml:space="preserve">CB-0373</t>
  </si>
  <si>
    <t xml:space="preserve">CB-0374</t>
  </si>
  <si>
    <t xml:space="preserve">CB-0375</t>
  </si>
  <si>
    <t xml:space="preserve">CB-0376</t>
  </si>
  <si>
    <t xml:space="preserve">VAT Aug 2025</t>
  </si>
  <si>
    <t xml:space="preserve">CB-0377</t>
  </si>
  <si>
    <t xml:space="preserve">CB-0378</t>
  </si>
  <si>
    <t xml:space="preserve">CB-0379</t>
  </si>
  <si>
    <t xml:space="preserve">Receipt - Abuja Catering Services Inv 1305</t>
  </si>
  <si>
    <t xml:space="preserve">CB-0380</t>
  </si>
  <si>
    <t xml:space="preserve">CB-0381</t>
  </si>
  <si>
    <t xml:space="preserve">CB-0382</t>
  </si>
  <si>
    <t xml:space="preserve">CB-0383</t>
  </si>
  <si>
    <t xml:space="preserve">CB-0384</t>
  </si>
  <si>
    <t xml:space="preserve">CB-0385</t>
  </si>
  <si>
    <t xml:space="preserve">Net salaries Sep 2025</t>
  </si>
  <si>
    <t xml:space="preserve">CB-0386</t>
  </si>
  <si>
    <t xml:space="preserve">CHQ 004535 Zenith Crates &amp; Pallets Inv 4554</t>
  </si>
  <si>
    <t xml:space="preserve">CB-0387</t>
  </si>
  <si>
    <t xml:space="preserve">Bank charges &amp; stamp duty Sep 2025</t>
  </si>
  <si>
    <t xml:space="preserve">CB-0388</t>
  </si>
  <si>
    <t xml:space="preserve">Receipt - Ibadan Traders Coop Inv 1323</t>
  </si>
  <si>
    <t xml:space="preserve">CB-0389</t>
  </si>
  <si>
    <t xml:space="preserve">CB-0390</t>
  </si>
  <si>
    <t xml:space="preserve">Shop rent Q4</t>
  </si>
  <si>
    <t xml:space="preserve">CB-0391</t>
  </si>
  <si>
    <t xml:space="preserve">Receipt - Delta Fresh Mart Inv 1309</t>
  </si>
  <si>
    <t xml:space="preserve">CB-0392</t>
  </si>
  <si>
    <t xml:space="preserve">CB-0393</t>
  </si>
  <si>
    <t xml:space="preserve">CB-0394</t>
  </si>
  <si>
    <t xml:space="preserve">CB-0395</t>
  </si>
  <si>
    <t xml:space="preserve">CB-0396</t>
  </si>
  <si>
    <t xml:space="preserve">Payment - Kemi Plastics Inv 4702</t>
  </si>
  <si>
    <t xml:space="preserve">CB-0397</t>
  </si>
  <si>
    <t xml:space="preserve">CB-0398</t>
  </si>
  <si>
    <t xml:space="preserve">CB-0399</t>
  </si>
  <si>
    <t xml:space="preserve">CHQ 004536 Unity Chemicals Ltd Inv 4557</t>
  </si>
  <si>
    <t xml:space="preserve">CB-0400</t>
  </si>
  <si>
    <t xml:space="preserve">CB-0401</t>
  </si>
  <si>
    <t xml:space="preserve">CB-0402</t>
  </si>
  <si>
    <t xml:space="preserve">PAYE Sep 2025</t>
  </si>
  <si>
    <t xml:space="preserve">CB-0403</t>
  </si>
  <si>
    <t xml:space="preserve">Receipt - Abuja Catering Services Inv 1320</t>
  </si>
  <si>
    <t xml:space="preserve">CB-0404</t>
  </si>
  <si>
    <t xml:space="preserve">CB-0405</t>
  </si>
  <si>
    <t xml:space="preserve">CB-0406</t>
  </si>
  <si>
    <t xml:space="preserve">CB-0407</t>
  </si>
  <si>
    <t xml:space="preserve">CB-0408</t>
  </si>
  <si>
    <t xml:space="preserve">CB-0409</t>
  </si>
  <si>
    <t xml:space="preserve">CB-0410</t>
  </si>
  <si>
    <t xml:space="preserve">CB-0411</t>
  </si>
  <si>
    <t xml:space="preserve">Pension Sep 2025</t>
  </si>
  <si>
    <t xml:space="preserve">CB-0412</t>
  </si>
  <si>
    <t xml:space="preserve">Transfer from savings</t>
  </si>
  <si>
    <t xml:space="preserve">CB-0413</t>
  </si>
  <si>
    <t xml:space="preserve">CB-0414</t>
  </si>
  <si>
    <t xml:space="preserve">CB-0415</t>
  </si>
  <si>
    <t xml:space="preserve">CB-0416</t>
  </si>
  <si>
    <t xml:space="preserve">VAT Sep 2025</t>
  </si>
  <si>
    <t xml:space="preserve">CB-0417</t>
  </si>
  <si>
    <t xml:space="preserve">Receipt - Brightway Schools Inv 1316</t>
  </si>
  <si>
    <t xml:space="preserve">CB-0418</t>
  </si>
  <si>
    <t xml:space="preserve">CB-0419</t>
  </si>
  <si>
    <t xml:space="preserve">CB-0420</t>
  </si>
  <si>
    <t xml:space="preserve">CB-0421</t>
  </si>
  <si>
    <t xml:space="preserve">CB-0422</t>
  </si>
  <si>
    <t xml:space="preserve">Intl card spend</t>
  </si>
  <si>
    <t xml:space="preserve">CB-0423</t>
  </si>
  <si>
    <t xml:space="preserve">CB-0424</t>
  </si>
  <si>
    <t xml:space="preserve">CB-0425</t>
  </si>
  <si>
    <t xml:space="preserve">CB-0426</t>
  </si>
  <si>
    <t xml:space="preserve">CB-0427</t>
  </si>
  <si>
    <t xml:space="preserve">Legal fees</t>
  </si>
  <si>
    <t xml:space="preserve">CB-0428</t>
  </si>
  <si>
    <t xml:space="preserve">CB-0429</t>
  </si>
  <si>
    <t xml:space="preserve">CB-0430</t>
  </si>
  <si>
    <t xml:space="preserve">Net salaries Oct 2025</t>
  </si>
  <si>
    <t xml:space="preserve">CB-0431</t>
  </si>
  <si>
    <t xml:space="preserve">CB-0432</t>
  </si>
  <si>
    <t xml:space="preserve">CB-0433</t>
  </si>
  <si>
    <t xml:space="preserve">CB-0434</t>
  </si>
  <si>
    <t xml:space="preserve">Receipt - Kano Wholesale Hub Inv 1342</t>
  </si>
  <si>
    <t xml:space="preserve">CB-0435</t>
  </si>
  <si>
    <t xml:space="preserve">CB-0436</t>
  </si>
  <si>
    <t xml:space="preserve">CB-0437</t>
  </si>
  <si>
    <t xml:space="preserve">CB-0438</t>
  </si>
  <si>
    <t xml:space="preserve">CB-0439</t>
  </si>
  <si>
    <t xml:space="preserve">CHQ 004539 Unity Chemicals Ltd Inv 4580</t>
  </si>
  <si>
    <t xml:space="preserve">CB-0440</t>
  </si>
  <si>
    <t xml:space="preserve">Receipt - Delta Fresh Mart Inv 1350</t>
  </si>
  <si>
    <t xml:space="preserve">CB-0441</t>
  </si>
  <si>
    <t xml:space="preserve">FX purchase USD 6,000</t>
  </si>
  <si>
    <t xml:space="preserve">CB-0442</t>
  </si>
  <si>
    <t xml:space="preserve">CB-0443</t>
  </si>
  <si>
    <t xml:space="preserve">CB-0444</t>
  </si>
  <si>
    <t xml:space="preserve">CB-0445</t>
  </si>
  <si>
    <t xml:space="preserve">CB-0446</t>
  </si>
  <si>
    <t xml:space="preserve">PAYE Oct 2025</t>
  </si>
  <si>
    <t xml:space="preserve">CB-0447</t>
  </si>
  <si>
    <t xml:space="preserve">CB-0448</t>
  </si>
  <si>
    <t xml:space="preserve">CB-0449</t>
  </si>
  <si>
    <t xml:space="preserve">CB-0450</t>
  </si>
  <si>
    <t xml:space="preserve">CB-0451</t>
  </si>
  <si>
    <t xml:space="preserve">CB-0452</t>
  </si>
  <si>
    <t xml:space="preserve">CB-0453</t>
  </si>
  <si>
    <t xml:space="preserve">CB-0454</t>
  </si>
  <si>
    <t xml:space="preserve">Pension Oct 2025</t>
  </si>
  <si>
    <t xml:space="preserve">CB-0455</t>
  </si>
  <si>
    <t xml:space="preserve">CB-0456</t>
  </si>
  <si>
    <t xml:space="preserve">Receipt - Prime Hospitality Ltd Inv 1337</t>
  </si>
  <si>
    <t xml:space="preserve">CB-0457</t>
  </si>
  <si>
    <t xml:space="preserve">Receipt - Prime Hospitality Ltd Inv 1329</t>
  </si>
  <si>
    <t xml:space="preserve">CB-0458</t>
  </si>
  <si>
    <t xml:space="preserve">CB-0459</t>
  </si>
  <si>
    <t xml:space="preserve">Receipt - Ibadan Traders Coop Inv 1359</t>
  </si>
  <si>
    <t xml:space="preserve">CB-0460</t>
  </si>
  <si>
    <t xml:space="preserve">CB-0461</t>
  </si>
  <si>
    <t xml:space="preserve">CB-0462</t>
  </si>
  <si>
    <t xml:space="preserve">CB-0463</t>
  </si>
  <si>
    <t xml:space="preserve">VAT Oct 2025</t>
  </si>
  <si>
    <t xml:space="preserve">CB-0464</t>
  </si>
  <si>
    <t xml:space="preserve">Receipt - Abuja Catering Services Inv 1330</t>
  </si>
  <si>
    <t xml:space="preserve">CB-0465</t>
  </si>
  <si>
    <t xml:space="preserve">CB-0466</t>
  </si>
  <si>
    <t xml:space="preserve">CB-0467</t>
  </si>
  <si>
    <t xml:space="preserve">CB-0468</t>
  </si>
  <si>
    <t xml:space="preserve">Director loan repayment</t>
  </si>
  <si>
    <t xml:space="preserve">CB-0469</t>
  </si>
  <si>
    <t xml:space="preserve">CB-0470</t>
  </si>
  <si>
    <t xml:space="preserve">Net salaries Nov 2025</t>
  </si>
  <si>
    <t xml:space="preserve">CB-0471</t>
  </si>
  <si>
    <t xml:space="preserve">Receipt - Lekki Mini Mart Inv 1371</t>
  </si>
  <si>
    <t xml:space="preserve">CB-0472</t>
  </si>
  <si>
    <t xml:space="preserve">CB-0473</t>
  </si>
  <si>
    <t xml:space="preserve">CB-0474</t>
  </si>
  <si>
    <t xml:space="preserve">CB-0475</t>
  </si>
  <si>
    <t xml:space="preserve">CB-0476</t>
  </si>
  <si>
    <t xml:space="preserve">Receipt - Lekki Mini Mart Inv 1384</t>
  </si>
  <si>
    <t xml:space="preserve">CB-0477</t>
  </si>
  <si>
    <t xml:space="preserve">CB-0478</t>
  </si>
  <si>
    <t xml:space="preserve">CB-0479</t>
  </si>
  <si>
    <t xml:space="preserve">CB-0480</t>
  </si>
  <si>
    <t xml:space="preserve">CB-0481</t>
  </si>
  <si>
    <t xml:space="preserve">CB-0482</t>
  </si>
  <si>
    <t xml:space="preserve">CB-0483</t>
  </si>
  <si>
    <t xml:space="preserve">CHQ 004542 Pinnacle Packaging Ltd Inv 4594</t>
  </si>
  <si>
    <t xml:space="preserve">CB-0484</t>
  </si>
  <si>
    <t xml:space="preserve">Receipt - Kano Wholesale Hub Inv 1368</t>
  </si>
  <si>
    <t xml:space="preserve">CB-0485</t>
  </si>
  <si>
    <t xml:space="preserve">CB-0486</t>
  </si>
  <si>
    <t xml:space="preserve">PAYE Nov 2025</t>
  </si>
  <si>
    <t xml:space="preserve">CB-0487</t>
  </si>
  <si>
    <t xml:space="preserve">CB-0488</t>
  </si>
  <si>
    <t xml:space="preserve">Receipt - Ojo &amp; Sons Ent Inv 1387</t>
  </si>
  <si>
    <t xml:space="preserve">CB-0489</t>
  </si>
  <si>
    <t xml:space="preserve">Receipt - Delta Fresh Mart Inv 1405</t>
  </si>
  <si>
    <t xml:space="preserve">CB-0490</t>
  </si>
  <si>
    <t xml:space="preserve">CB-0491</t>
  </si>
  <si>
    <t xml:space="preserve">CB-0492</t>
  </si>
  <si>
    <t xml:space="preserve">CB-0493</t>
  </si>
  <si>
    <t xml:space="preserve">CB-0494</t>
  </si>
  <si>
    <t xml:space="preserve">Pension Nov 2025</t>
  </si>
  <si>
    <t xml:space="preserve">CB-0495</t>
  </si>
  <si>
    <t xml:space="preserve">CB-0496</t>
  </si>
  <si>
    <t xml:space="preserve">CB-0497</t>
  </si>
  <si>
    <t xml:space="preserve">CB-0498</t>
  </si>
  <si>
    <t xml:space="preserve">CB-0499</t>
  </si>
  <si>
    <t xml:space="preserve">13th month bonus</t>
  </si>
  <si>
    <t xml:space="preserve">CB-0500</t>
  </si>
  <si>
    <t xml:space="preserve">CB-0501</t>
  </si>
  <si>
    <t xml:space="preserve">CB-0502</t>
  </si>
  <si>
    <t xml:space="preserve">CB-0503</t>
  </si>
  <si>
    <t xml:space="preserve">VAT Nov 2025</t>
  </si>
  <si>
    <t xml:space="preserve">CB-0504</t>
  </si>
  <si>
    <t xml:space="preserve">CB-0505</t>
  </si>
  <si>
    <t xml:space="preserve">CB-0506</t>
  </si>
  <si>
    <t xml:space="preserve">Receipt - Brightway Schools Inv 1375</t>
  </si>
  <si>
    <t xml:space="preserve">CB-0507</t>
  </si>
  <si>
    <t xml:space="preserve">Receipt - Lekki Mini Mart Inv 1396</t>
  </si>
  <si>
    <t xml:space="preserve">CB-0508</t>
  </si>
  <si>
    <t xml:space="preserve">CB-0509</t>
  </si>
  <si>
    <t xml:space="preserve">Receipt - Delta Fresh Mart Inv 1379</t>
  </si>
  <si>
    <t xml:space="preserve">CB-0510</t>
  </si>
  <si>
    <t xml:space="preserve">Net salaries Dec 2025</t>
  </si>
  <si>
    <t xml:space="preserve">CB-0511</t>
  </si>
  <si>
    <t xml:space="preserve">CB-0512</t>
  </si>
  <si>
    <t xml:space="preserve">CHQ 004587 Pinnacle Packaging - Inv 5012</t>
  </si>
  <si>
    <t xml:space="preserve">CB-0513</t>
  </si>
  <si>
    <t xml:space="preserve">CHQ 004588 Zenith Crates - Inv 5019</t>
  </si>
  <si>
    <t xml:space="preserve">CB-0514</t>
  </si>
  <si>
    <t xml:space="preserve">Cheque deposit - Greenfield Stores (lodged late)</t>
  </si>
  <si>
    <t xml:space="preserve">CB-0515</t>
  </si>
  <si>
    <t xml:space="preserve">CHQ 004589 Repairs - contractor</t>
  </si>
  <si>
    <t xml:space="preserve">CB-0516</t>
  </si>
  <si>
    <t xml:space="preserve">CHQ 004590 Nova Agro Imports - Inv 5031</t>
  </si>
  <si>
    <t xml:space="preserve">CB-0517</t>
  </si>
  <si>
    <t xml:space="preserve">Cash sales banked after cut-off</t>
  </si>
  <si>
    <t xml:space="preserve">CB-0518</t>
  </si>
  <si>
    <t xml:space="preserve">POS settlement due 2 Jan</t>
  </si>
  <si>
    <t xml:space="preserve">ANSWER KEY - Classification &amp; Reconciliation Status (ground truth for each bank line)</t>
  </si>
  <si>
    <t xml:space="preserve">Clarity: Clear = narration identifies the nature; Unclear = missing payer/payee/purpose; Ambiguous = fits 2+ categories. Category shown is the 'most defensible' answer.</t>
  </si>
  <si>
    <t xml:space="preserve">Debit</t>
  </si>
  <si>
    <t xml:space="preserve">Credit</t>
  </si>
  <si>
    <t xml:space="preserve">Net Cash Effect</t>
  </si>
  <si>
    <t xml:space="preserve">Month</t>
  </si>
  <si>
    <t xml:space="preserve">Category</t>
  </si>
  <si>
    <t xml:space="preserve">FS Class</t>
  </si>
  <si>
    <t xml:space="preserve">Clarity</t>
  </si>
  <si>
    <t xml:space="preserve">Recon Status</t>
  </si>
  <si>
    <t xml:space="preserve">Cash Book Ref</t>
  </si>
  <si>
    <t xml:space="preserve">Reasoning / Note</t>
  </si>
  <si>
    <t xml:space="preserve">Sales - Customer Transfers</t>
  </si>
  <si>
    <t xml:space="preserve">Operating</t>
  </si>
  <si>
    <t xml:space="preserve">Clear</t>
  </si>
  <si>
    <t xml:space="preserve">Matched</t>
  </si>
  <si>
    <t xml:space="preserve">Sales - POS Settlements</t>
  </si>
  <si>
    <t xml:space="preserve">Settlement is net of merchant commission (MDR); gross sales are higher than the amount credited.</t>
  </si>
  <si>
    <t xml:space="preserve">Utilities (Power &amp; Internet)</t>
  </si>
  <si>
    <t xml:space="preserve">Rent</t>
  </si>
  <si>
    <t xml:space="preserve">Annual rent paid upfront - spans 12 months (prepayment/accrual issue for the financial statements).</t>
  </si>
  <si>
    <t xml:space="preserve">Sales - Online Gateway Settlements</t>
  </si>
  <si>
    <t xml:space="preserve">Net of gateway fees.</t>
  </si>
  <si>
    <t xml:space="preserve">Fuel &amp; Logistics</t>
  </si>
  <si>
    <t xml:space="preserve">Could be generator diesel or vehicle fuel - same expense class, different cost centre.</t>
  </si>
  <si>
    <t xml:space="preserve">Sales - Cash Deposits</t>
  </si>
  <si>
    <t xml:space="preserve">Unclear</t>
  </si>
  <si>
    <t xml:space="preserve">No payer identified. Could be daily cash sales, debtor collections or an owner top-up. Tie to daily sales/cash records.</t>
  </si>
  <si>
    <t xml:space="preserve">PAYE Remittance</t>
  </si>
  <si>
    <t xml:space="preserve">Inventory / Supplier Payments</t>
  </si>
  <si>
    <t xml:space="preserve">Office &amp; Admin</t>
  </si>
  <si>
    <t xml:space="preserve">Marketing &amp; Advertising</t>
  </si>
  <si>
    <t xml:space="preserve">Foreign-currency card debits are converted at the bank rate - the Naira amount differs from the invoice.</t>
  </si>
  <si>
    <t xml:space="preserve">Pension Remittance</t>
  </si>
  <si>
    <t xml:space="preserve">VAT Remittance</t>
  </si>
  <si>
    <t xml:space="preserve">Net VAT payable (output VAT less input VAT) - not equal to 7.5% of sales.</t>
  </si>
  <si>
    <t xml:space="preserve">WHT Remittance</t>
  </si>
  <si>
    <t xml:space="preserve">Individual sender, no invoice reference. Most likely a customer payment, but could be owner funding or a personal transfer. Confirm against sales invoices / customer list.</t>
  </si>
  <si>
    <t xml:space="preserve">Petty Cash Withdrawals</t>
  </si>
  <si>
    <t xml:space="preserve">Cash cheque with no purpose stated. Treat as petty cash/float; support needed for what it was spent on (or it may be owner drawings).</t>
  </si>
  <si>
    <t xml:space="preserve">Salaries &amp; Wages</t>
  </si>
  <si>
    <t xml:space="preserve">Bank Charges</t>
  </si>
  <si>
    <t xml:space="preserve">Matched (grouped)</t>
  </si>
  <si>
    <t xml:space="preserve">Bank charges are posted as separate lines; the cash book records one monthly total.</t>
  </si>
  <si>
    <t xml:space="preserve">Stamp Duty</t>
  </si>
  <si>
    <t xml:space="preserve">Timing difference</t>
  </si>
  <si>
    <t xml:space="preserve">Equipment &amp; Vehicle Purchases</t>
  </si>
  <si>
    <t xml:space="preserve">Investing</t>
  </si>
  <si>
    <t xml:space="preserve">Capital item - capitalise and depreciate, do not expense.</t>
  </si>
  <si>
    <t xml:space="preserve">Owner Capital Injection</t>
  </si>
  <si>
    <t xml:space="preserve">Financing</t>
  </si>
  <si>
    <t xml:space="preserve">Ambiguous</t>
  </si>
  <si>
    <t xml:space="preserve">Director funding with no instruction. Could be share capital top-up or a director loan (liability). Check board resolution / shareholder agreement.</t>
  </si>
  <si>
    <t xml:space="preserve">Owner Drawings</t>
  </si>
  <si>
    <t xml:space="preserve">Transfer to director - drawings, salary advance or loan repayment? Treated as drawings.</t>
  </si>
  <si>
    <t xml:space="preserve">Unidentified - Suspense</t>
  </si>
  <si>
    <t xml:space="preserve">Other / Suspense</t>
  </si>
  <si>
    <t xml:space="preserve">No sender name or invoice reference. Hold in suspense until identified (customer receipt? loan? refund?).</t>
  </si>
  <si>
    <t xml:space="preserve">Loan Proceeds</t>
  </si>
  <si>
    <t xml:space="preserve">N20m term loan, 24 months @ 24% p.a. See Loan Schedule sheet.</t>
  </si>
  <si>
    <t xml:space="preserve">Loan Facility Fees</t>
  </si>
  <si>
    <t xml:space="preserve">Insurance</t>
  </si>
  <si>
    <t xml:space="preserve">Annual premium - part is prepaid at year end.</t>
  </si>
  <si>
    <t xml:space="preserve">Repairs &amp; Maintenance</t>
  </si>
  <si>
    <t xml:space="preserve">Payee and narration suggest repairs, but could be a capital improvement. Check job invoice.</t>
  </si>
  <si>
    <t xml:space="preserve">Amount difference</t>
  </si>
  <si>
    <t xml:space="preserve">Cash book shows 1,254,000 (digits transposed).</t>
  </si>
  <si>
    <t xml:space="preserve">Payee is an individual with a generic narration. Could be a small supplier, a contractor or a personal payment. Needs invoice/approval to confirm.</t>
  </si>
  <si>
    <t xml:space="preserve">Interest Income</t>
  </si>
  <si>
    <t xml:space="preserve">Bank only (not in cash book)</t>
  </si>
  <si>
    <t xml:space="preserve">-</t>
  </si>
  <si>
    <t xml:space="preserve">Bank-credited interest - not yet recorded in the books.</t>
  </si>
  <si>
    <t xml:space="preserve">Customer Refund</t>
  </si>
  <si>
    <t xml:space="preserve">Refund of a customer overpayment - reduces revenue/debtors, not an expense.</t>
  </si>
  <si>
    <t xml:space="preserve">Loan Repayment - Principal + Interest</t>
  </si>
  <si>
    <t xml:space="preserve">Single debit combines principal and interest - split using Loan Schedule sheet.</t>
  </si>
  <si>
    <t xml:space="preserve">Two bank credits settle one invoice (many-to-one match).</t>
  </si>
  <si>
    <t xml:space="preserve">Supplier Refund / Credit Note</t>
  </si>
  <si>
    <t xml:space="preserve">Looks like a sales receipt but is a refund from a supplier (reduces purchases).</t>
  </si>
  <si>
    <t xml:space="preserve">Deposit on delivery van (total N18m, balance paid in July).</t>
  </si>
  <si>
    <t xml:space="preserve">Company Income Tax</t>
  </si>
  <si>
    <t xml:space="preserve">Prior-year (FY2024) tax paid in 2025 - settles a liability, not a 2025 expense.</t>
  </si>
  <si>
    <t xml:space="preserve">No payee or purpose. Suspense until supported.</t>
  </si>
  <si>
    <t xml:space="preserve">Transfer Between Own Accounts</t>
  </si>
  <si>
    <t xml:space="preserve">Own-account transfer - not an expense. Reversal comes back in October.</t>
  </si>
  <si>
    <t xml:space="preserve">Professional Fees</t>
  </si>
  <si>
    <t xml:space="preserve">Treated as drawings (see Feb note).</t>
  </si>
  <si>
    <t xml:space="preserve">Bank Reversal / Error</t>
  </si>
  <si>
    <t xml:space="preserve">Identical debit on same day - duplicate posted by bank, reversed on 15 Jul.</t>
  </si>
  <si>
    <t xml:space="preserve">Reversal of duplicate debit - nets to zero with the 12 Jul duplicate.</t>
  </si>
  <si>
    <t xml:space="preserve">Recorded twice in the cash book (duplicate entry).</t>
  </si>
  <si>
    <t xml:space="preserve">Matched (split)</t>
  </si>
  <si>
    <t xml:space="preserve">CB-0321, CB-0322</t>
  </si>
  <si>
    <t xml:space="preserve">One bank payment settles two invoices (one-to-many match).</t>
  </si>
  <si>
    <t xml:space="preserve">Sales - Cheque Deposits</t>
  </si>
  <si>
    <t xml:space="preserve">Later returned unpaid (22 Aug).</t>
  </si>
  <si>
    <t xml:space="preserve">Returned Cheque (Dishonoured)</t>
  </si>
  <si>
    <t xml:space="preserve">Dishonoured customer cheque - reinstate the debtor; not an expense.</t>
  </si>
  <si>
    <t xml:space="preserve">Personal (director's child school fees) paid by the company - drawings, not a business expense.</t>
  </si>
  <si>
    <t xml:space="preserve">Large credit, no sender. Could be customer, director or loan. Resolve before year end.</t>
  </si>
  <si>
    <t xml:space="preserve">Director Loan Received</t>
  </si>
  <si>
    <t xml:space="preserve">'Advance' implies a loan (liability), not capital. Repaid in part in November.</t>
  </si>
  <si>
    <t xml:space="preserve">Cash book shows 2,761,500 (digits transposed).</t>
  </si>
  <si>
    <t xml:space="preserve">Return of the June savings transfer - not income.</t>
  </si>
  <si>
    <t xml:space="preserve">Foreign online card spend with no merchant name. Needs card statement / receipt.</t>
  </si>
  <si>
    <t xml:space="preserve">Not yet recorded in the cash book.</t>
  </si>
  <si>
    <t xml:space="preserve">Import Purchases (FX)</t>
  </si>
  <si>
    <t xml:space="preserve">Dollar purchase for an import - an FX conversion, not an expense by itself. Link to the import invoice / Form M.</t>
  </si>
  <si>
    <t xml:space="preserve">Director Loan Repaid</t>
  </si>
  <si>
    <t xml:space="preserve">Part repayment of the September advance (could be mistaken for drawings).</t>
  </si>
  <si>
    <t xml:space="preserve">Year-end bonus. PAYE on bonus is remitted in January 2026 (accrual at year end).</t>
  </si>
  <si>
    <t xml:space="preserve">Shading: orange = Unclear, yellow = Ambiguous</t>
  </si>
  <si>
    <t xml:space="preserve">RECONCILIATION EXCEPTIONS - items that differ between bank statement and cash book</t>
  </si>
  <si>
    <t xml:space="preserve">Effect = amount that must be added (+) or deducted (-) from the balance of the side shown, to reach the adjusted (true) cash balance.</t>
  </si>
  <si>
    <t xml:space="preserve">Ref</t>
  </si>
  <si>
    <t xml:space="preserve">Type</t>
  </si>
  <si>
    <t xml:space="preserve">Bank Amount</t>
  </si>
  <si>
    <t xml:space="preserve">Cash Book Amount</t>
  </si>
  <si>
    <t xml:space="preserve">Side to Adjust</t>
  </si>
  <si>
    <t xml:space="preserve">Effect on Adjusted Balance</t>
  </si>
  <si>
    <t xml:space="preserve">Bank S/N</t>
  </si>
  <si>
    <t xml:space="preserve">Explanation</t>
  </si>
  <si>
    <t xml:space="preserve">R-001</t>
  </si>
  <si>
    <t xml:space="preserve">Timing difference (cleared in later month)</t>
  </si>
  <si>
    <t xml:space="preserve">None</t>
  </si>
  <si>
    <t xml:space="preserve">Booked 31-Jan but cleared by the bank 05-Feb: reconciling item at month end only.</t>
  </si>
  <si>
    <t xml:space="preserve">R-002</t>
  </si>
  <si>
    <t xml:space="preserve">Booked 28-Feb but cleared by the bank 03-Mar: reconciling item at month end only.</t>
  </si>
  <si>
    <t xml:space="preserve">R-003</t>
  </si>
  <si>
    <t xml:space="preserve">Booked 28-Feb but cleared by the bank 05-Mar: reconciling item at month end only.</t>
  </si>
  <si>
    <t xml:space="preserve">R-004</t>
  </si>
  <si>
    <t xml:space="preserve">Amount error in cash book</t>
  </si>
  <si>
    <t xml:space="preserve">Book</t>
  </si>
  <si>
    <t xml:space="preserve">R-005</t>
  </si>
  <si>
    <t xml:space="preserve">Bank credit not in cash book</t>
  </si>
  <si>
    <t xml:space="preserve">R-006</t>
  </si>
  <si>
    <t xml:space="preserve">Booked 28-Mar but cleared by the bank 02-Apr: reconciling item at month end only.</t>
  </si>
  <si>
    <t xml:space="preserve">R-007</t>
  </si>
  <si>
    <t xml:space="preserve">Booked 31-Mar but cleared by the bank 03-Apr: reconciling item at month end only.</t>
  </si>
  <si>
    <t xml:space="preserve">R-008</t>
  </si>
  <si>
    <t xml:space="preserve">Booked 30-Apr but cleared by the bank 02-May: reconciling item at month end only.</t>
  </si>
  <si>
    <t xml:space="preserve">R-009</t>
  </si>
  <si>
    <t xml:space="preserve">Booked 29-May but cleared by the bank 02-Jun: reconciling item at month end only.</t>
  </si>
  <si>
    <t xml:space="preserve">R-010</t>
  </si>
  <si>
    <t xml:space="preserve">Booked 29-May but cleared by the bank 03-Jun: reconciling item at month end only.</t>
  </si>
  <si>
    <t xml:space="preserve">R-011</t>
  </si>
  <si>
    <t xml:space="preserve">R-012</t>
  </si>
  <si>
    <t xml:space="preserve">Bank debit not in cash book</t>
  </si>
  <si>
    <t xml:space="preserve">R-013</t>
  </si>
  <si>
    <t xml:space="preserve">R-014</t>
  </si>
  <si>
    <t xml:space="preserve">Booked 31-Jul but cleared by the bank 04-Aug: reconciling item at month end only.</t>
  </si>
  <si>
    <t xml:space="preserve">R-015</t>
  </si>
  <si>
    <t xml:space="preserve">Booked 30-Jul but cleared by the bank 04-Aug: reconciling item at month end only.</t>
  </si>
  <si>
    <t xml:space="preserve">R-016</t>
  </si>
  <si>
    <t xml:space="preserve">Payment - Unity Chemicals Inv 4630 (entered twice)</t>
  </si>
  <si>
    <t xml:space="preserve">Duplicate entry in cash book</t>
  </si>
  <si>
    <t xml:space="preserve">Same payment recorded twice in the cash book.</t>
  </si>
  <si>
    <t xml:space="preserve">R-017</t>
  </si>
  <si>
    <t xml:space="preserve">R-018</t>
  </si>
  <si>
    <t xml:space="preserve">On the bank statement but never entered in the cash book.</t>
  </si>
  <si>
    <t xml:space="preserve">R-019</t>
  </si>
  <si>
    <t xml:space="preserve">R-020</t>
  </si>
  <si>
    <t xml:space="preserve">Booked 29-Sep but cleared by the bank 02-Oct: reconciling item at month end only.</t>
  </si>
  <si>
    <t xml:space="preserve">R-021</t>
  </si>
  <si>
    <t xml:space="preserve">R-022</t>
  </si>
  <si>
    <t xml:space="preserve">R-023</t>
  </si>
  <si>
    <t xml:space="preserve">R-024</t>
  </si>
  <si>
    <t xml:space="preserve">R-025</t>
  </si>
  <si>
    <t xml:space="preserve">R-026</t>
  </si>
  <si>
    <t xml:space="preserve">R-027</t>
  </si>
  <si>
    <t xml:space="preserve">R-028</t>
  </si>
  <si>
    <t xml:space="preserve">Booked 30-Oct but cleared by the bank 03-Nov: reconciling item at month end only.</t>
  </si>
  <si>
    <t xml:space="preserve">R-029</t>
  </si>
  <si>
    <t xml:space="preserve">R-030</t>
  </si>
  <si>
    <t xml:space="preserve">Booked 31-Oct but cleared by the bank 05-Nov: reconciling item at month end only.</t>
  </si>
  <si>
    <t xml:space="preserve">R-031</t>
  </si>
  <si>
    <t xml:space="preserve">R-032</t>
  </si>
  <si>
    <t xml:space="preserve">R-033</t>
  </si>
  <si>
    <t xml:space="preserve">R-034</t>
  </si>
  <si>
    <t xml:space="preserve">R-035</t>
  </si>
  <si>
    <t xml:space="preserve">R-036</t>
  </si>
  <si>
    <t xml:space="preserve">R-037</t>
  </si>
  <si>
    <t xml:space="preserve">R-038</t>
  </si>
  <si>
    <t xml:space="preserve">Outstanding cheque</t>
  </si>
  <si>
    <t xml:space="preserve">Bank</t>
  </si>
  <si>
    <t xml:space="preserve">Cheque issued before year end, not yet presented to the bank.</t>
  </si>
  <si>
    <t xml:space="preserve">R-039</t>
  </si>
  <si>
    <t xml:space="preserve">Deposit in transit</t>
  </si>
  <si>
    <t xml:space="preserve">Recorded in the cash book but not credited by the bank until January.</t>
  </si>
  <si>
    <t xml:space="preserve">R-040</t>
  </si>
  <si>
    <t xml:space="preserve">R-041</t>
  </si>
  <si>
    <t xml:space="preserve">R-042</t>
  </si>
  <si>
    <t xml:space="preserve">R-043</t>
  </si>
  <si>
    <t xml:space="preserve">R-044</t>
  </si>
  <si>
    <t xml:space="preserve">R-045</t>
  </si>
  <si>
    <t xml:space="preserve">R-046</t>
  </si>
  <si>
    <t xml:space="preserve">R-047</t>
  </si>
  <si>
    <t xml:space="preserve">R-048</t>
  </si>
  <si>
    <t xml:space="preserve">R-049</t>
  </si>
  <si>
    <t xml:space="preserve">R-050</t>
  </si>
  <si>
    <t xml:space="preserve">BANK RECONCILIATION STATEMENT AS AT 31 DECEMBER 2025</t>
  </si>
  <si>
    <t xml:space="preserve">Lagosmart Distribution Ltd (fictional)  |  All amounts in NGN. Items pulled from the Recon Exceptions sheet by type.</t>
  </si>
  <si>
    <t xml:space="preserve">A. BANK SIDE</t>
  </si>
  <si>
    <t xml:space="preserve">Balance per bank statement at 31 Dec 2025</t>
  </si>
  <si>
    <t xml:space="preserve">Add: Deposits in transit</t>
  </si>
  <si>
    <t xml:space="preserve">Less: Outstanding (unpresented) cheques</t>
  </si>
  <si>
    <t xml:space="preserve">Adjusted bank balance</t>
  </si>
  <si>
    <t xml:space="preserve">B. CASH BOOK SIDE</t>
  </si>
  <si>
    <t xml:space="preserve">Balance per cash book at 31 Dec 2025</t>
  </si>
  <si>
    <t xml:space="preserve">Add: Bank credits not yet in cash book (interest, reversals)</t>
  </si>
  <si>
    <t xml:space="preserve">Less: Bank debits not yet in cash book (charges, loan repayments, dishonoured cheque, bank duplicate)</t>
  </si>
  <si>
    <t xml:space="preserve">Correct: Amount errors in cash book (net)</t>
  </si>
  <si>
    <t xml:space="preserve">Add back: Duplicate payment entry in cash book</t>
  </si>
  <si>
    <t xml:space="preserve">Adjusted cash book balance</t>
  </si>
  <si>
    <t xml:space="preserve">DIFFERENCE (must be zero)</t>
  </si>
  <si>
    <t xml:space="preserve">Note: timing differences that cleared in a later month have no effect at 31 Dec and are therefore excluded here.</t>
  </si>
  <si>
    <t xml:space="preserve">Journals needed in the books = Section B items (rows 12-15). Rows 6-7 need no journal.</t>
  </si>
  <si>
    <t xml:space="preserve">TERM LOAN AMORTISATION SCHEDULE - TL/2025/0310</t>
  </si>
  <si>
    <t xml:space="preserve">Loan principal (NGN)</t>
  </si>
  <si>
    <t xml:space="preserve">Blue = input. Rate assumption: 24% p.a. on reducing balance, interest = opening balance x rate / 12.</t>
  </si>
  <si>
    <t xml:space="preserve">Annual interest rate</t>
  </si>
  <si>
    <t xml:space="preserve">Term (months)</t>
  </si>
  <si>
    <t xml:space="preserve">Drawdown date</t>
  </si>
  <si>
    <t xml:space="preserve">First instalment date</t>
  </si>
  <si>
    <t xml:space="preserve">Monthly instalment (NGN)</t>
  </si>
  <si>
    <t xml:space="preserve">No.</t>
  </si>
  <si>
    <t xml:space="preserve">Due Date</t>
  </si>
  <si>
    <t xml:space="preserve">Year</t>
  </si>
  <si>
    <t xml:space="preserve">Instalment</t>
  </si>
  <si>
    <t xml:space="preserve">Interest</t>
  </si>
  <si>
    <t xml:space="preserve">Principal</t>
  </si>
  <si>
    <t xml:space="preserve">Summary for the financial statements</t>
  </si>
  <si>
    <t xml:space="preserve">2025 instalments paid (cash)</t>
  </si>
  <si>
    <t xml:space="preserve">2025 interest expense (paid)</t>
  </si>
  <si>
    <t xml:space="preserve">2025 principal repaid</t>
  </si>
  <si>
    <t xml:space="preserve">Loan balance at 31 Dec 2025</t>
  </si>
  <si>
    <t xml:space="preserve">  of which: current portion (principal due in 2026)</t>
  </si>
  <si>
    <t xml:space="preserve">  of which: non-current portion</t>
  </si>
  <si>
    <t xml:space="preserve">Interest accrued 10 Dec - 31 Dec 2025 (21 days approx., accrual)</t>
  </si>
  <si>
    <t xml:space="preserve">MONTHLY CASH SUMMARY BY CATEGORY - 2025 (receipts positive, payments negative)</t>
  </si>
  <si>
    <t xml:space="preserve">Built with SUMIFS on the Answer Key sheet. Replace the Answer Key categories with your classifier output to compare.</t>
  </si>
  <si>
    <t xml:space="preserve">Month no.</t>
  </si>
  <si>
    <t xml:space="preserve">Jan-25</t>
  </si>
  <si>
    <t xml:space="preserve">Feb-25</t>
  </si>
  <si>
    <t xml:space="preserve">Mar-25</t>
  </si>
  <si>
    <t xml:space="preserve">Apr-25</t>
  </si>
  <si>
    <t xml:space="preserve">May-25</t>
  </si>
  <si>
    <t xml:space="preserve">Jun-25</t>
  </si>
  <si>
    <t xml:space="preserve">Jul-25</t>
  </si>
  <si>
    <t xml:space="preserve">Aug-25</t>
  </si>
  <si>
    <t xml:space="preserve">Sep-25</t>
  </si>
  <si>
    <t xml:space="preserve">Oct-25</t>
  </si>
  <si>
    <t xml:space="preserve">Nov-25</t>
  </si>
  <si>
    <t xml:space="preserve">Dec-25</t>
  </si>
  <si>
    <t xml:space="preserve">Total</t>
  </si>
  <si>
    <t xml:space="preserve">CASH FLOW BY CLASS</t>
  </si>
  <si>
    <t xml:space="preserve">Net cash - Operating</t>
  </si>
  <si>
    <t xml:space="preserve">Net cash - Investing</t>
  </si>
  <si>
    <t xml:space="preserve">Net cash - Financing</t>
  </si>
  <si>
    <t xml:space="preserve">Net cash - Other / Suspense</t>
  </si>
  <si>
    <t xml:space="preserve">Net cash movement for the month</t>
  </si>
  <si>
    <t xml:space="preserve">Opening balance</t>
  </si>
  <si>
    <t xml:space="preserve">Closing balance</t>
  </si>
  <si>
    <t xml:space="preserve">Check: closing balance vs bank statement (must be zero)</t>
  </si>
  <si>
    <t xml:space="preserve">MEMO: split of loan repayments (from Loan Schedule)</t>
  </si>
  <si>
    <t xml:space="preserve">Loan interest (included in repayments)</t>
  </si>
  <si>
    <t xml:space="preserve">Loan principal (included in repayments)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</si>
</sst>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;\(#,##0.00\);\-"/>
    <numFmt numFmtId="166" formatCode="dd\-mmm\-yyyy"/>
    <numFmt numFmtId="167" formatCode="#,##0;\(#,##0\);\-"/>
    <numFmt numFmtId="168" formatCode="0.0%"/>
    <numFmt numFmtId="169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D9E2F3"/>
        <bgColor rgb="FFFCE4D6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5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3"/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/>
    </row>
    <row r="11" customFormat="false" ht="15" hidden="false" customHeight="false" outlineLevel="0" collapsed="false">
      <c r="A11" s="2" t="s">
        <v>7</v>
      </c>
    </row>
    <row r="12" customFormat="false" ht="15" hidden="false" customHeight="false" outlineLevel="0" collapsed="false">
      <c r="A12" s="3" t="s">
        <v>8</v>
      </c>
    </row>
    <row r="13" customFormat="false" ht="1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3" t="s">
        <v>14</v>
      </c>
    </row>
    <row r="19" customFormat="false" ht="15" hidden="false" customHeight="false" outlineLevel="0" collapsed="false">
      <c r="A19" s="3"/>
    </row>
    <row r="20" customFormat="false" ht="15" hidden="false" customHeight="false" outlineLevel="0" collapsed="false">
      <c r="A20" s="2" t="s">
        <v>15</v>
      </c>
    </row>
    <row r="21" customFormat="false" ht="15" hidden="false" customHeight="false" outlineLevel="0" collapsed="false">
      <c r="A21" s="3" t="s">
        <v>16</v>
      </c>
    </row>
    <row r="22" customFormat="false" ht="15" hidden="false" customHeight="false" outlineLevel="0" collapsed="false">
      <c r="A22" s="3" t="s">
        <v>17</v>
      </c>
    </row>
    <row r="23" customFormat="false" ht="15" hidden="false" customHeight="false" outlineLevel="0" collapsed="false">
      <c r="A23" s="3" t="s">
        <v>18</v>
      </c>
    </row>
    <row r="24" customFormat="false" ht="15" hidden="false" customHeight="false" outlineLevel="0" collapsed="false">
      <c r="A24" s="3" t="s">
        <v>19</v>
      </c>
    </row>
    <row r="25" customFormat="false" ht="15" hidden="false" customHeight="false" outlineLevel="0" collapsed="false">
      <c r="A25" s="3" t="s">
        <v>20</v>
      </c>
    </row>
    <row r="26" customFormat="false" ht="15" hidden="false" customHeight="false" outlineLevel="0" collapsed="false">
      <c r="A26" s="3" t="s">
        <v>21</v>
      </c>
    </row>
    <row r="27" customFormat="false" ht="15" hidden="false" customHeight="false" outlineLevel="0" collapsed="false">
      <c r="A27" s="3" t="s">
        <v>22</v>
      </c>
    </row>
    <row r="28" customFormat="false" ht="15" hidden="false" customHeight="false" outlineLevel="0" collapsed="false">
      <c r="A28" s="3" t="s">
        <v>23</v>
      </c>
    </row>
    <row r="29" customFormat="false" ht="15" hidden="false" customHeight="false" outlineLevel="0" collapsed="false">
      <c r="A29" s="3"/>
    </row>
    <row r="30" customFormat="false" ht="15" hidden="false" customHeight="false" outlineLevel="0" collapsed="false">
      <c r="A30" s="2" t="s">
        <v>24</v>
      </c>
    </row>
    <row r="31" customFormat="false" ht="15" hidden="false" customHeight="false" outlineLevel="0" collapsed="false">
      <c r="A31" s="3" t="s">
        <v>25</v>
      </c>
    </row>
    <row r="32" customFormat="false" ht="15" hidden="false" customHeight="false" outlineLevel="0" collapsed="false">
      <c r="A32" s="3" t="s">
        <v>26</v>
      </c>
    </row>
    <row r="33" customFormat="false" ht="15" hidden="false" customHeight="false" outlineLevel="0" collapsed="false">
      <c r="A33" s="3" t="s">
        <v>27</v>
      </c>
    </row>
    <row r="34" customFormat="false" ht="15" hidden="false" customHeight="false" outlineLevel="0" collapsed="false">
      <c r="A34" s="3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3" min="2" style="0" width="13"/>
    <col collapsed="false" customWidth="true" hidden="false" outlineLevel="0" max="4" min="4" style="0" width="22"/>
    <col collapsed="false" customWidth="true" hidden="false" outlineLevel="0" max="5" min="5" style="0" width="62"/>
    <col collapsed="false" customWidth="true" hidden="false" outlineLevel="0" max="7" min="6" style="0" width="17"/>
    <col collapsed="false" customWidth="true" hidden="false" outlineLevel="0" max="8" min="8" style="0" width="18"/>
  </cols>
  <sheetData>
    <row r="1" customFormat="false" ht="17.35" hidden="false" customHeight="false" outlineLevel="0" collapsed="false">
      <c r="A1" s="1" t="s">
        <v>29</v>
      </c>
    </row>
    <row r="2" customFormat="false" ht="15" hidden="false" customHeight="false" outlineLevel="0" collapsed="false">
      <c r="A2" s="2" t="s">
        <v>30</v>
      </c>
    </row>
    <row r="3" customFormat="false" ht="15" hidden="false" customHeight="false" outlineLevel="0" collapsed="false">
      <c r="A3" s="2" t="s">
        <v>31</v>
      </c>
      <c r="C3" s="3" t="s">
        <v>32</v>
      </c>
      <c r="F3" s="2" t="s">
        <v>33</v>
      </c>
      <c r="H3" s="5" t="n">
        <v>12500000</v>
      </c>
    </row>
    <row r="4" customFormat="false" ht="15" hidden="false" customHeight="false" outlineLevel="0" collapsed="false">
      <c r="A4" s="2" t="s">
        <v>34</v>
      </c>
      <c r="C4" s="3" t="s">
        <v>35</v>
      </c>
      <c r="F4" s="2" t="s">
        <v>36</v>
      </c>
      <c r="H4" s="6" t="n">
        <f aca="false">H581</f>
        <v>111812086.36</v>
      </c>
    </row>
    <row r="5" customFormat="false" ht="15" hidden="false" customHeight="false" outlineLevel="0" collapsed="false">
      <c r="A5" s="2" t="s">
        <v>37</v>
      </c>
      <c r="C5" s="3" t="s">
        <v>38</v>
      </c>
    </row>
    <row r="6" customFormat="false" ht="15" hidden="false" customHeight="false" outlineLevel="0" collapsed="false">
      <c r="A6" s="2" t="s">
        <v>39</v>
      </c>
      <c r="C6" s="3" t="s">
        <v>40</v>
      </c>
    </row>
    <row r="8" customFormat="false" ht="30" hidden="false" customHeight="true" outlineLevel="0" collapsed="false">
      <c r="A8" s="7" t="s">
        <v>41</v>
      </c>
      <c r="B8" s="7" t="s">
        <v>42</v>
      </c>
      <c r="C8" s="7" t="s">
        <v>43</v>
      </c>
      <c r="D8" s="7" t="s">
        <v>44</v>
      </c>
      <c r="E8" s="7" t="s">
        <v>45</v>
      </c>
      <c r="F8" s="7" t="s">
        <v>46</v>
      </c>
      <c r="G8" s="7" t="s">
        <v>47</v>
      </c>
      <c r="H8" s="7" t="s">
        <v>48</v>
      </c>
    </row>
    <row r="9" customFormat="false" ht="15" hidden="false" customHeight="false" outlineLevel="0" collapsed="false">
      <c r="A9" s="3" t="n">
        <v>1</v>
      </c>
      <c r="B9" s="8" t="n">
        <v>45659</v>
      </c>
      <c r="C9" s="8" t="n">
        <v>45659</v>
      </c>
      <c r="D9" s="3" t="s">
        <v>49</v>
      </c>
      <c r="E9" s="3" t="s">
        <v>50</v>
      </c>
      <c r="F9" s="9"/>
      <c r="G9" s="9" t="n">
        <v>2086200</v>
      </c>
      <c r="H9" s="9" t="n">
        <f aca="false">$H$3+G9-F9</f>
        <v>14586200</v>
      </c>
    </row>
    <row r="10" customFormat="false" ht="15" hidden="false" customHeight="false" outlineLevel="0" collapsed="false">
      <c r="A10" s="3" t="n">
        <v>2</v>
      </c>
      <c r="B10" s="8" t="n">
        <v>45663</v>
      </c>
      <c r="C10" s="8" t="n">
        <v>45664</v>
      </c>
      <c r="D10" s="3" t="s">
        <v>51</v>
      </c>
      <c r="E10" s="3" t="s">
        <v>52</v>
      </c>
      <c r="F10" s="9"/>
      <c r="G10" s="9" t="n">
        <v>3096700</v>
      </c>
      <c r="H10" s="9" t="n">
        <f aca="false">H9+G10-F10</f>
        <v>17682900</v>
      </c>
    </row>
    <row r="11" customFormat="false" ht="15" hidden="false" customHeight="false" outlineLevel="0" collapsed="false">
      <c r="A11" s="3" t="n">
        <v>3</v>
      </c>
      <c r="B11" s="8" t="n">
        <v>45663</v>
      </c>
      <c r="C11" s="8" t="n">
        <v>45663</v>
      </c>
      <c r="D11" s="3" t="s">
        <v>53</v>
      </c>
      <c r="E11" s="3" t="s">
        <v>54</v>
      </c>
      <c r="F11" s="9"/>
      <c r="G11" s="9" t="n">
        <v>2234000</v>
      </c>
      <c r="H11" s="9" t="n">
        <f aca="false">H10+G11-F11</f>
        <v>19916900</v>
      </c>
    </row>
    <row r="12" customFormat="false" ht="15" hidden="false" customHeight="false" outlineLevel="0" collapsed="false">
      <c r="A12" s="3" t="n">
        <v>4</v>
      </c>
      <c r="B12" s="8" t="n">
        <v>45663</v>
      </c>
      <c r="C12" s="8" t="n">
        <v>45663</v>
      </c>
      <c r="D12" s="3" t="s">
        <v>55</v>
      </c>
      <c r="E12" s="3" t="s">
        <v>56</v>
      </c>
      <c r="F12" s="9"/>
      <c r="G12" s="9" t="n">
        <v>3586300</v>
      </c>
      <c r="H12" s="9" t="n">
        <f aca="false">H11+G12-F12</f>
        <v>23503200</v>
      </c>
    </row>
    <row r="13" customFormat="false" ht="15" hidden="false" customHeight="false" outlineLevel="0" collapsed="false">
      <c r="A13" s="3" t="n">
        <v>5</v>
      </c>
      <c r="B13" s="8" t="n">
        <v>45663</v>
      </c>
      <c r="C13" s="8" t="n">
        <v>45663</v>
      </c>
      <c r="D13" s="3" t="s">
        <v>57</v>
      </c>
      <c r="E13" s="3" t="s">
        <v>58</v>
      </c>
      <c r="F13" s="9"/>
      <c r="G13" s="9" t="n">
        <v>1564104.23</v>
      </c>
      <c r="H13" s="9" t="n">
        <f aca="false">H12+G13-F13</f>
        <v>25067304.23</v>
      </c>
    </row>
    <row r="14" customFormat="false" ht="15" hidden="false" customHeight="false" outlineLevel="0" collapsed="false">
      <c r="A14" s="3" t="n">
        <v>6</v>
      </c>
      <c r="B14" s="8" t="n">
        <v>45663</v>
      </c>
      <c r="C14" s="8" t="n">
        <v>45663</v>
      </c>
      <c r="D14" s="3" t="s">
        <v>59</v>
      </c>
      <c r="E14" s="3" t="s">
        <v>60</v>
      </c>
      <c r="F14" s="9" t="n">
        <v>85000</v>
      </c>
      <c r="G14" s="9"/>
      <c r="H14" s="9" t="n">
        <f aca="false">H13+G14-F14</f>
        <v>24982304.23</v>
      </c>
    </row>
    <row r="15" customFormat="false" ht="15" hidden="false" customHeight="false" outlineLevel="0" collapsed="false">
      <c r="A15" s="3" t="n">
        <v>7</v>
      </c>
      <c r="B15" s="8" t="n">
        <v>45663</v>
      </c>
      <c r="C15" s="8" t="n">
        <v>45663</v>
      </c>
      <c r="D15" s="3" t="s">
        <v>61</v>
      </c>
      <c r="E15" s="3" t="s">
        <v>62</v>
      </c>
      <c r="F15" s="9" t="n">
        <v>7200000</v>
      </c>
      <c r="G15" s="9"/>
      <c r="H15" s="9" t="n">
        <f aca="false">H14+G15-F15</f>
        <v>17782304.23</v>
      </c>
    </row>
    <row r="16" customFormat="false" ht="15" hidden="false" customHeight="false" outlineLevel="0" collapsed="false">
      <c r="A16" s="3" t="n">
        <v>8</v>
      </c>
      <c r="B16" s="8" t="n">
        <v>45665</v>
      </c>
      <c r="C16" s="8" t="n">
        <v>45666</v>
      </c>
      <c r="D16" s="3" t="s">
        <v>63</v>
      </c>
      <c r="E16" s="3" t="s">
        <v>64</v>
      </c>
      <c r="F16" s="9"/>
      <c r="G16" s="9" t="n">
        <v>1486100</v>
      </c>
      <c r="H16" s="9" t="n">
        <f aca="false">H15+G16-F16</f>
        <v>19268404.23</v>
      </c>
    </row>
    <row r="17" customFormat="false" ht="15" hidden="false" customHeight="false" outlineLevel="0" collapsed="false">
      <c r="A17" s="3" t="n">
        <v>9</v>
      </c>
      <c r="B17" s="8" t="n">
        <v>45665</v>
      </c>
      <c r="C17" s="8" t="n">
        <v>45665</v>
      </c>
      <c r="D17" s="3" t="s">
        <v>65</v>
      </c>
      <c r="E17" s="3" t="s">
        <v>66</v>
      </c>
      <c r="F17" s="9" t="n">
        <v>1500000</v>
      </c>
      <c r="G17" s="9"/>
      <c r="H17" s="9" t="n">
        <f aca="false">H16+G17-F17</f>
        <v>17768404.23</v>
      </c>
    </row>
    <row r="18" customFormat="false" ht="15" hidden="false" customHeight="false" outlineLevel="0" collapsed="false">
      <c r="A18" s="3" t="n">
        <v>10</v>
      </c>
      <c r="B18" s="8" t="n">
        <v>45666</v>
      </c>
      <c r="C18" s="8" t="n">
        <v>45666</v>
      </c>
      <c r="D18" s="3" t="s">
        <v>67</v>
      </c>
      <c r="E18" s="3" t="s">
        <v>68</v>
      </c>
      <c r="F18" s="9"/>
      <c r="G18" s="9" t="n">
        <v>780536.26</v>
      </c>
      <c r="H18" s="9" t="n">
        <f aca="false">H17+G18-F18</f>
        <v>18548940.49</v>
      </c>
    </row>
    <row r="19" customFormat="false" ht="15" hidden="false" customHeight="false" outlineLevel="0" collapsed="false">
      <c r="A19" s="3" t="n">
        <v>11</v>
      </c>
      <c r="B19" s="8" t="n">
        <v>45666</v>
      </c>
      <c r="C19" s="8" t="n">
        <v>45666</v>
      </c>
      <c r="D19" s="3" t="s">
        <v>69</v>
      </c>
      <c r="E19" s="3" t="s">
        <v>70</v>
      </c>
      <c r="F19" s="9" t="n">
        <v>323833.15</v>
      </c>
      <c r="G19" s="9"/>
      <c r="H19" s="9" t="n">
        <f aca="false">H18+G19-F19</f>
        <v>18225107.34</v>
      </c>
    </row>
    <row r="20" customFormat="false" ht="15" hidden="false" customHeight="false" outlineLevel="0" collapsed="false">
      <c r="A20" s="3" t="n">
        <v>12</v>
      </c>
      <c r="B20" s="8" t="n">
        <v>45667</v>
      </c>
      <c r="C20" s="8" t="n">
        <v>45667</v>
      </c>
      <c r="D20" s="3" t="s">
        <v>71</v>
      </c>
      <c r="E20" s="3" t="s">
        <v>72</v>
      </c>
      <c r="F20" s="9"/>
      <c r="G20" s="9" t="n">
        <v>816396.53</v>
      </c>
      <c r="H20" s="9" t="n">
        <f aca="false">H19+G20-F20</f>
        <v>19041503.87</v>
      </c>
    </row>
    <row r="21" customFormat="false" ht="15" hidden="false" customHeight="false" outlineLevel="0" collapsed="false">
      <c r="A21" s="3" t="n">
        <v>13</v>
      </c>
      <c r="B21" s="8" t="n">
        <v>45667</v>
      </c>
      <c r="C21" s="8" t="n">
        <v>45667</v>
      </c>
      <c r="D21" s="3" t="s">
        <v>73</v>
      </c>
      <c r="E21" s="3" t="s">
        <v>74</v>
      </c>
      <c r="F21" s="9" t="n">
        <v>450800</v>
      </c>
      <c r="G21" s="9"/>
      <c r="H21" s="9" t="n">
        <f aca="false">H20+G21-F21</f>
        <v>18590703.87</v>
      </c>
    </row>
    <row r="22" customFormat="false" ht="15" hidden="false" customHeight="false" outlineLevel="0" collapsed="false">
      <c r="A22" s="3" t="n">
        <v>14</v>
      </c>
      <c r="B22" s="8" t="n">
        <v>45670</v>
      </c>
      <c r="C22" s="8" t="n">
        <v>45670</v>
      </c>
      <c r="D22" s="3" t="s">
        <v>75</v>
      </c>
      <c r="E22" s="3" t="s">
        <v>76</v>
      </c>
      <c r="F22" s="9"/>
      <c r="G22" s="9" t="n">
        <v>2632600</v>
      </c>
      <c r="H22" s="9" t="n">
        <f aca="false">H21+G22-F22</f>
        <v>21223303.87</v>
      </c>
    </row>
    <row r="23" customFormat="false" ht="15" hidden="false" customHeight="false" outlineLevel="0" collapsed="false">
      <c r="A23" s="3" t="n">
        <v>15</v>
      </c>
      <c r="B23" s="8" t="n">
        <v>45670</v>
      </c>
      <c r="C23" s="8" t="n">
        <v>45671</v>
      </c>
      <c r="D23" s="3" t="s">
        <v>77</v>
      </c>
      <c r="E23" s="3" t="s">
        <v>78</v>
      </c>
      <c r="F23" s="9"/>
      <c r="G23" s="9" t="n">
        <v>670841.79</v>
      </c>
      <c r="H23" s="9" t="n">
        <f aca="false">H22+G23-F23</f>
        <v>21894145.66</v>
      </c>
    </row>
    <row r="24" customFormat="false" ht="15" hidden="false" customHeight="false" outlineLevel="0" collapsed="false">
      <c r="A24" s="3" t="n">
        <v>16</v>
      </c>
      <c r="B24" s="8" t="n">
        <v>45670</v>
      </c>
      <c r="C24" s="8" t="n">
        <v>45670</v>
      </c>
      <c r="D24" s="3" t="s">
        <v>79</v>
      </c>
      <c r="E24" s="3" t="s">
        <v>80</v>
      </c>
      <c r="F24" s="9" t="n">
        <v>1160500</v>
      </c>
      <c r="G24" s="9"/>
      <c r="H24" s="9" t="n">
        <f aca="false">H23+G24-F24</f>
        <v>20733645.66</v>
      </c>
    </row>
    <row r="25" customFormat="false" ht="15" hidden="false" customHeight="false" outlineLevel="0" collapsed="false">
      <c r="A25" s="3" t="n">
        <v>17</v>
      </c>
      <c r="B25" s="8" t="n">
        <v>45670</v>
      </c>
      <c r="C25" s="8" t="n">
        <v>45670</v>
      </c>
      <c r="D25" s="3" t="s">
        <v>81</v>
      </c>
      <c r="E25" s="3" t="s">
        <v>82</v>
      </c>
      <c r="F25" s="9" t="n">
        <v>1951500</v>
      </c>
      <c r="G25" s="9"/>
      <c r="H25" s="9" t="n">
        <f aca="false">H24+G25-F25</f>
        <v>18782145.66</v>
      </c>
    </row>
    <row r="26" customFormat="false" ht="15" hidden="false" customHeight="false" outlineLevel="0" collapsed="false">
      <c r="A26" s="3" t="n">
        <v>18</v>
      </c>
      <c r="B26" s="8" t="n">
        <v>45670</v>
      </c>
      <c r="C26" s="8" t="n">
        <v>45670</v>
      </c>
      <c r="D26" s="3" t="s">
        <v>83</v>
      </c>
      <c r="E26" s="3" t="s">
        <v>84</v>
      </c>
      <c r="F26" s="9" t="n">
        <v>284264.14</v>
      </c>
      <c r="G26" s="9"/>
      <c r="H26" s="9" t="n">
        <f aca="false">H25+G26-F26</f>
        <v>18497881.52</v>
      </c>
    </row>
    <row r="27" customFormat="false" ht="15" hidden="false" customHeight="false" outlineLevel="0" collapsed="false">
      <c r="A27" s="3" t="n">
        <v>19</v>
      </c>
      <c r="B27" s="8" t="n">
        <v>45670</v>
      </c>
      <c r="C27" s="8" t="n">
        <v>45670</v>
      </c>
      <c r="D27" s="3" t="s">
        <v>85</v>
      </c>
      <c r="E27" s="3" t="s">
        <v>86</v>
      </c>
      <c r="F27" s="9" t="n">
        <v>199288.34</v>
      </c>
      <c r="G27" s="9"/>
      <c r="H27" s="9" t="n">
        <f aca="false">H26+G27-F27</f>
        <v>18298593.18</v>
      </c>
    </row>
    <row r="28" customFormat="false" ht="15" hidden="false" customHeight="false" outlineLevel="0" collapsed="false">
      <c r="A28" s="3" t="n">
        <v>20</v>
      </c>
      <c r="B28" s="8" t="n">
        <v>45671</v>
      </c>
      <c r="C28" s="8" t="n">
        <v>45671</v>
      </c>
      <c r="D28" s="3" t="s">
        <v>87</v>
      </c>
      <c r="E28" s="3" t="s">
        <v>88</v>
      </c>
      <c r="F28" s="9"/>
      <c r="G28" s="9" t="n">
        <v>2195200</v>
      </c>
      <c r="H28" s="9" t="n">
        <f aca="false">H27+G28-F28</f>
        <v>20493793.18</v>
      </c>
    </row>
    <row r="29" customFormat="false" ht="15" hidden="false" customHeight="false" outlineLevel="0" collapsed="false">
      <c r="A29" s="3" t="n">
        <v>21</v>
      </c>
      <c r="B29" s="8" t="n">
        <v>45671</v>
      </c>
      <c r="C29" s="8" t="n">
        <v>45671</v>
      </c>
      <c r="D29" s="3" t="s">
        <v>89</v>
      </c>
      <c r="E29" s="3" t="s">
        <v>90</v>
      </c>
      <c r="F29" s="9" t="n">
        <v>969100</v>
      </c>
      <c r="G29" s="9"/>
      <c r="H29" s="9" t="n">
        <f aca="false">H28+G29-F29</f>
        <v>19524693.18</v>
      </c>
    </row>
    <row r="30" customFormat="false" ht="15" hidden="false" customHeight="false" outlineLevel="0" collapsed="false">
      <c r="A30" s="3" t="n">
        <v>22</v>
      </c>
      <c r="B30" s="8" t="n">
        <v>45671</v>
      </c>
      <c r="C30" s="8" t="n">
        <v>45671</v>
      </c>
      <c r="D30" s="3" t="s">
        <v>91</v>
      </c>
      <c r="E30" s="3" t="s">
        <v>92</v>
      </c>
      <c r="F30" s="9" t="n">
        <v>2830300</v>
      </c>
      <c r="G30" s="9"/>
      <c r="H30" s="9" t="n">
        <f aca="false">H29+G30-F30</f>
        <v>16694393.18</v>
      </c>
    </row>
    <row r="31" customFormat="false" ht="15" hidden="false" customHeight="false" outlineLevel="0" collapsed="false">
      <c r="A31" s="3" t="n">
        <v>23</v>
      </c>
      <c r="B31" s="8" t="n">
        <v>45671</v>
      </c>
      <c r="C31" s="8" t="n">
        <v>45671</v>
      </c>
      <c r="D31" s="3" t="s">
        <v>93</v>
      </c>
      <c r="E31" s="3" t="s">
        <v>94</v>
      </c>
      <c r="F31" s="9" t="n">
        <v>209769.68</v>
      </c>
      <c r="G31" s="9"/>
      <c r="H31" s="9" t="n">
        <f aca="false">H30+G31-F31</f>
        <v>16484623.5</v>
      </c>
    </row>
    <row r="32" customFormat="false" ht="15" hidden="false" customHeight="false" outlineLevel="0" collapsed="false">
      <c r="A32" s="3" t="n">
        <v>24</v>
      </c>
      <c r="B32" s="8" t="n">
        <v>45672</v>
      </c>
      <c r="C32" s="8" t="n">
        <v>45672</v>
      </c>
      <c r="D32" s="3" t="s">
        <v>95</v>
      </c>
      <c r="E32" s="3" t="s">
        <v>96</v>
      </c>
      <c r="F32" s="9"/>
      <c r="G32" s="9" t="n">
        <v>1335545</v>
      </c>
      <c r="H32" s="9" t="n">
        <f aca="false">H31+G32-F32</f>
        <v>17820168.5</v>
      </c>
    </row>
    <row r="33" customFormat="false" ht="15" hidden="false" customHeight="false" outlineLevel="0" collapsed="false">
      <c r="A33" s="3" t="n">
        <v>25</v>
      </c>
      <c r="B33" s="8" t="n">
        <v>45672</v>
      </c>
      <c r="C33" s="8" t="n">
        <v>45673</v>
      </c>
      <c r="D33" s="3" t="s">
        <v>97</v>
      </c>
      <c r="E33" s="3" t="s">
        <v>98</v>
      </c>
      <c r="F33" s="9" t="n">
        <v>828000</v>
      </c>
      <c r="G33" s="9"/>
      <c r="H33" s="9" t="n">
        <f aca="false">H32+G33-F33</f>
        <v>16992168.5</v>
      </c>
    </row>
    <row r="34" customFormat="false" ht="15" hidden="false" customHeight="false" outlineLevel="0" collapsed="false">
      <c r="A34" s="3" t="n">
        <v>26</v>
      </c>
      <c r="B34" s="8" t="n">
        <v>45677</v>
      </c>
      <c r="C34" s="8" t="n">
        <v>45677</v>
      </c>
      <c r="D34" s="3" t="s">
        <v>99</v>
      </c>
      <c r="E34" s="3" t="s">
        <v>100</v>
      </c>
      <c r="F34" s="9"/>
      <c r="G34" s="9" t="n">
        <v>1539349.64</v>
      </c>
      <c r="H34" s="9" t="n">
        <f aca="false">H33+G34-F34</f>
        <v>18531518.14</v>
      </c>
    </row>
    <row r="35" customFormat="false" ht="15" hidden="false" customHeight="false" outlineLevel="0" collapsed="false">
      <c r="A35" s="3" t="n">
        <v>27</v>
      </c>
      <c r="B35" s="8" t="n">
        <v>45677</v>
      </c>
      <c r="C35" s="8" t="n">
        <v>45678</v>
      </c>
      <c r="D35" s="3" t="s">
        <v>101</v>
      </c>
      <c r="E35" s="3" t="s">
        <v>102</v>
      </c>
      <c r="F35" s="9" t="n">
        <v>1415000</v>
      </c>
      <c r="G35" s="9"/>
      <c r="H35" s="9" t="n">
        <f aca="false">H34+G35-F35</f>
        <v>17116518.14</v>
      </c>
    </row>
    <row r="36" customFormat="false" ht="15" hidden="false" customHeight="false" outlineLevel="0" collapsed="false">
      <c r="A36" s="3" t="n">
        <v>28</v>
      </c>
      <c r="B36" s="8" t="n">
        <v>45677</v>
      </c>
      <c r="C36" s="8" t="n">
        <v>45678</v>
      </c>
      <c r="D36" s="3" t="s">
        <v>103</v>
      </c>
      <c r="E36" s="3" t="s">
        <v>104</v>
      </c>
      <c r="F36" s="9" t="n">
        <v>2041200</v>
      </c>
      <c r="G36" s="9"/>
      <c r="H36" s="9" t="n">
        <f aca="false">H35+G36-F36</f>
        <v>15075318.14</v>
      </c>
    </row>
    <row r="37" customFormat="false" ht="15" hidden="false" customHeight="false" outlineLevel="0" collapsed="false">
      <c r="A37" s="3" t="n">
        <v>29</v>
      </c>
      <c r="B37" s="8" t="n">
        <v>45677</v>
      </c>
      <c r="C37" s="8" t="n">
        <v>45677</v>
      </c>
      <c r="D37" s="3" t="s">
        <v>105</v>
      </c>
      <c r="E37" s="3" t="s">
        <v>106</v>
      </c>
      <c r="F37" s="9" t="n">
        <v>237700</v>
      </c>
      <c r="G37" s="9"/>
      <c r="H37" s="9" t="n">
        <f aca="false">H36+G37-F37</f>
        <v>14837618.14</v>
      </c>
    </row>
    <row r="38" customFormat="false" ht="15" hidden="false" customHeight="false" outlineLevel="0" collapsed="false">
      <c r="A38" s="3" t="n">
        <v>30</v>
      </c>
      <c r="B38" s="8" t="n">
        <v>45677</v>
      </c>
      <c r="C38" s="8" t="n">
        <v>45677</v>
      </c>
      <c r="D38" s="3" t="s">
        <v>107</v>
      </c>
      <c r="E38" s="3" t="s">
        <v>108</v>
      </c>
      <c r="F38" s="9" t="n">
        <v>232180.8</v>
      </c>
      <c r="G38" s="9"/>
      <c r="H38" s="9" t="n">
        <f aca="false">H37+G38-F38</f>
        <v>14605437.34</v>
      </c>
    </row>
    <row r="39" customFormat="false" ht="15" hidden="false" customHeight="false" outlineLevel="0" collapsed="false">
      <c r="A39" s="3" t="n">
        <v>31</v>
      </c>
      <c r="B39" s="8" t="n">
        <v>45678</v>
      </c>
      <c r="C39" s="8" t="n">
        <v>45678</v>
      </c>
      <c r="D39" s="3" t="s">
        <v>109</v>
      </c>
      <c r="E39" s="3" t="s">
        <v>110</v>
      </c>
      <c r="F39" s="9"/>
      <c r="G39" s="9" t="n">
        <v>342680.91</v>
      </c>
      <c r="H39" s="9" t="n">
        <f aca="false">H38+G39-F39</f>
        <v>14948118.25</v>
      </c>
    </row>
    <row r="40" customFormat="false" ht="15" hidden="false" customHeight="false" outlineLevel="0" collapsed="false">
      <c r="A40" s="3" t="n">
        <v>32</v>
      </c>
      <c r="B40" s="8" t="n">
        <v>45678</v>
      </c>
      <c r="C40" s="8" t="n">
        <v>45678</v>
      </c>
      <c r="D40" s="3" t="s">
        <v>111</v>
      </c>
      <c r="E40" s="3" t="s">
        <v>112</v>
      </c>
      <c r="F40" s="9" t="n">
        <v>865116.28</v>
      </c>
      <c r="G40" s="9"/>
      <c r="H40" s="9" t="n">
        <f aca="false">H39+G40-F40</f>
        <v>14083001.97</v>
      </c>
    </row>
    <row r="41" customFormat="false" ht="15" hidden="false" customHeight="false" outlineLevel="0" collapsed="false">
      <c r="A41" s="3" t="n">
        <v>33</v>
      </c>
      <c r="B41" s="8" t="n">
        <v>45679</v>
      </c>
      <c r="C41" s="8" t="n">
        <v>45679</v>
      </c>
      <c r="D41" s="3" t="s">
        <v>113</v>
      </c>
      <c r="E41" s="3" t="s">
        <v>114</v>
      </c>
      <c r="F41" s="9" t="n">
        <v>185202.57</v>
      </c>
      <c r="G41" s="9"/>
      <c r="H41" s="9" t="n">
        <f aca="false">H40+G41-F41</f>
        <v>13897799.4</v>
      </c>
    </row>
    <row r="42" customFormat="false" ht="15" hidden="false" customHeight="false" outlineLevel="0" collapsed="false">
      <c r="A42" s="3" t="n">
        <v>34</v>
      </c>
      <c r="B42" s="8" t="n">
        <v>45680</v>
      </c>
      <c r="C42" s="8" t="n">
        <v>45680</v>
      </c>
      <c r="D42" s="3" t="s">
        <v>115</v>
      </c>
      <c r="E42" s="3" t="s">
        <v>116</v>
      </c>
      <c r="F42" s="9"/>
      <c r="G42" s="9" t="n">
        <v>615346.61</v>
      </c>
      <c r="H42" s="9" t="n">
        <f aca="false">H41+G42-F42</f>
        <v>14513146.01</v>
      </c>
    </row>
    <row r="43" customFormat="false" ht="15" hidden="false" customHeight="false" outlineLevel="0" collapsed="false">
      <c r="A43" s="3" t="n">
        <v>35</v>
      </c>
      <c r="B43" s="8" t="n">
        <v>45680</v>
      </c>
      <c r="C43" s="8" t="n">
        <v>45680</v>
      </c>
      <c r="D43" s="3" t="s">
        <v>117</v>
      </c>
      <c r="E43" s="3" t="s">
        <v>118</v>
      </c>
      <c r="F43" s="9" t="n">
        <v>255328.23</v>
      </c>
      <c r="G43" s="9"/>
      <c r="H43" s="9" t="n">
        <f aca="false">H42+G43-F43</f>
        <v>14257817.78</v>
      </c>
    </row>
    <row r="44" customFormat="false" ht="15" hidden="false" customHeight="false" outlineLevel="0" collapsed="false">
      <c r="A44" s="3" t="n">
        <v>36</v>
      </c>
      <c r="B44" s="8" t="n">
        <v>45681</v>
      </c>
      <c r="C44" s="8" t="n">
        <v>45681</v>
      </c>
      <c r="D44" s="3" t="s">
        <v>119</v>
      </c>
      <c r="E44" s="3" t="s">
        <v>120</v>
      </c>
      <c r="F44" s="9"/>
      <c r="G44" s="9" t="n">
        <v>1558800</v>
      </c>
      <c r="H44" s="9" t="n">
        <f aca="false">H43+G44-F44</f>
        <v>15816617.78</v>
      </c>
    </row>
    <row r="45" customFormat="false" ht="15" hidden="false" customHeight="false" outlineLevel="0" collapsed="false">
      <c r="A45" s="3" t="n">
        <v>37</v>
      </c>
      <c r="B45" s="8" t="n">
        <v>45681</v>
      </c>
      <c r="C45" s="8" t="n">
        <v>45681</v>
      </c>
      <c r="D45" s="3" t="s">
        <v>121</v>
      </c>
      <c r="E45" s="3" t="s">
        <v>122</v>
      </c>
      <c r="F45" s="9" t="n">
        <v>413000</v>
      </c>
      <c r="G45" s="9"/>
      <c r="H45" s="9" t="n">
        <f aca="false">H44+G45-F45</f>
        <v>15403617.78</v>
      </c>
    </row>
    <row r="46" customFormat="false" ht="15" hidden="false" customHeight="false" outlineLevel="0" collapsed="false">
      <c r="A46" s="3" t="n">
        <v>38</v>
      </c>
      <c r="B46" s="8" t="n">
        <v>45681</v>
      </c>
      <c r="C46" s="8" t="n">
        <v>45681</v>
      </c>
      <c r="D46" s="3" t="s">
        <v>123</v>
      </c>
      <c r="E46" s="3" t="s">
        <v>124</v>
      </c>
      <c r="F46" s="9" t="n">
        <v>409000</v>
      </c>
      <c r="G46" s="9"/>
      <c r="H46" s="9" t="n">
        <f aca="false">H45+G46-F46</f>
        <v>14994617.78</v>
      </c>
    </row>
    <row r="47" customFormat="false" ht="15" hidden="false" customHeight="false" outlineLevel="0" collapsed="false">
      <c r="A47" s="3" t="n">
        <v>39</v>
      </c>
      <c r="B47" s="8" t="n">
        <v>45684</v>
      </c>
      <c r="C47" s="8" t="n">
        <v>45684</v>
      </c>
      <c r="D47" s="3" t="s">
        <v>125</v>
      </c>
      <c r="E47" s="3" t="s">
        <v>126</v>
      </c>
      <c r="F47" s="9"/>
      <c r="G47" s="9" t="n">
        <v>1600196.44</v>
      </c>
      <c r="H47" s="9" t="n">
        <f aca="false">H46+G47-F47</f>
        <v>16594814.22</v>
      </c>
    </row>
    <row r="48" customFormat="false" ht="15" hidden="false" customHeight="false" outlineLevel="0" collapsed="false">
      <c r="A48" s="3" t="n">
        <v>40</v>
      </c>
      <c r="B48" s="8" t="n">
        <v>45684</v>
      </c>
      <c r="C48" s="8" t="n">
        <v>45684</v>
      </c>
      <c r="D48" s="3" t="s">
        <v>127</v>
      </c>
      <c r="E48" s="3" t="s">
        <v>128</v>
      </c>
      <c r="F48" s="9" t="n">
        <v>3781200</v>
      </c>
      <c r="G48" s="9"/>
      <c r="H48" s="9" t="n">
        <f aca="false">H47+G48-F48</f>
        <v>12813614.22</v>
      </c>
    </row>
    <row r="49" customFormat="false" ht="15" hidden="false" customHeight="false" outlineLevel="0" collapsed="false">
      <c r="A49" s="3" t="n">
        <v>41</v>
      </c>
      <c r="B49" s="8" t="n">
        <v>45684</v>
      </c>
      <c r="C49" s="8" t="n">
        <v>45684</v>
      </c>
      <c r="D49" s="3" t="s">
        <v>129</v>
      </c>
      <c r="E49" s="3" t="s">
        <v>130</v>
      </c>
      <c r="F49" s="9" t="n">
        <v>198600</v>
      </c>
      <c r="G49" s="9"/>
      <c r="H49" s="9" t="n">
        <f aca="false">H48+G49-F49</f>
        <v>12615014.22</v>
      </c>
    </row>
    <row r="50" customFormat="false" ht="15" hidden="false" customHeight="false" outlineLevel="0" collapsed="false">
      <c r="A50" s="3" t="n">
        <v>42</v>
      </c>
      <c r="B50" s="8" t="n">
        <v>45684</v>
      </c>
      <c r="C50" s="8" t="n">
        <v>45684</v>
      </c>
      <c r="D50" s="3" t="s">
        <v>131</v>
      </c>
      <c r="E50" s="3" t="s">
        <v>132</v>
      </c>
      <c r="F50" s="9" t="n">
        <v>304235.28</v>
      </c>
      <c r="G50" s="9"/>
      <c r="H50" s="9" t="n">
        <f aca="false">H49+G50-F50</f>
        <v>12310778.94</v>
      </c>
    </row>
    <row r="51" customFormat="false" ht="15" hidden="false" customHeight="false" outlineLevel="0" collapsed="false">
      <c r="A51" s="3" t="n">
        <v>43</v>
      </c>
      <c r="B51" s="8" t="n">
        <v>45688</v>
      </c>
      <c r="C51" s="8" t="n">
        <v>45688</v>
      </c>
      <c r="D51" s="3" t="s">
        <v>133</v>
      </c>
      <c r="E51" s="3" t="s">
        <v>134</v>
      </c>
      <c r="F51" s="9" t="n">
        <v>4500</v>
      </c>
      <c r="G51" s="9"/>
      <c r="H51" s="9" t="n">
        <f aca="false">H50+G51-F51</f>
        <v>12306278.94</v>
      </c>
    </row>
    <row r="52" customFormat="false" ht="15" hidden="false" customHeight="false" outlineLevel="0" collapsed="false">
      <c r="A52" s="3" t="n">
        <v>44</v>
      </c>
      <c r="B52" s="8" t="n">
        <v>45688</v>
      </c>
      <c r="C52" s="8" t="n">
        <v>45688</v>
      </c>
      <c r="D52" s="3" t="s">
        <v>135</v>
      </c>
      <c r="E52" s="3" t="s">
        <v>136</v>
      </c>
      <c r="F52" s="9" t="n">
        <v>4131</v>
      </c>
      <c r="G52" s="9"/>
      <c r="H52" s="9" t="n">
        <f aca="false">H51+G52-F52</f>
        <v>12302147.94</v>
      </c>
    </row>
    <row r="53" customFormat="false" ht="15" hidden="false" customHeight="false" outlineLevel="0" collapsed="false">
      <c r="A53" s="3" t="n">
        <v>45</v>
      </c>
      <c r="B53" s="8" t="n">
        <v>45688</v>
      </c>
      <c r="C53" s="8" t="n">
        <v>45688</v>
      </c>
      <c r="D53" s="3" t="s">
        <v>137</v>
      </c>
      <c r="E53" s="3" t="s">
        <v>138</v>
      </c>
      <c r="F53" s="9" t="n">
        <v>450</v>
      </c>
      <c r="G53" s="9"/>
      <c r="H53" s="9" t="n">
        <f aca="false">H52+G53-F53</f>
        <v>12301697.94</v>
      </c>
    </row>
    <row r="54" customFormat="false" ht="15" hidden="false" customHeight="false" outlineLevel="0" collapsed="false">
      <c r="A54" s="3" t="n">
        <v>46</v>
      </c>
      <c r="B54" s="8" t="n">
        <v>45688</v>
      </c>
      <c r="C54" s="8" t="n">
        <v>45688</v>
      </c>
      <c r="D54" s="3" t="s">
        <v>139</v>
      </c>
      <c r="E54" s="3" t="s">
        <v>140</v>
      </c>
      <c r="F54" s="9" t="n">
        <v>681.07</v>
      </c>
      <c r="G54" s="9"/>
      <c r="H54" s="9" t="n">
        <f aca="false">H53+G54-F54</f>
        <v>12301016.87</v>
      </c>
    </row>
    <row r="55" customFormat="false" ht="15" hidden="false" customHeight="false" outlineLevel="0" collapsed="false">
      <c r="A55" s="3" t="n">
        <v>47</v>
      </c>
      <c r="B55" s="8" t="n">
        <v>45688</v>
      </c>
      <c r="C55" s="8" t="n">
        <v>45688</v>
      </c>
      <c r="D55" s="3" t="s">
        <v>141</v>
      </c>
      <c r="E55" s="3" t="s">
        <v>142</v>
      </c>
      <c r="F55" s="9" t="n">
        <v>850</v>
      </c>
      <c r="G55" s="9"/>
      <c r="H55" s="9" t="n">
        <f aca="false">H54+G55-F55</f>
        <v>12300166.87</v>
      </c>
    </row>
    <row r="56" customFormat="false" ht="15" hidden="false" customHeight="false" outlineLevel="0" collapsed="false">
      <c r="A56" s="3" t="n">
        <v>48</v>
      </c>
      <c r="B56" s="8" t="n">
        <v>45691</v>
      </c>
      <c r="C56" s="8" t="n">
        <v>45691</v>
      </c>
      <c r="D56" s="3" t="s">
        <v>143</v>
      </c>
      <c r="E56" s="3" t="s">
        <v>144</v>
      </c>
      <c r="F56" s="9" t="n">
        <v>376100</v>
      </c>
      <c r="G56" s="9"/>
      <c r="H56" s="9" t="n">
        <f aca="false">H55+G56-F56</f>
        <v>11924066.87</v>
      </c>
    </row>
    <row r="57" customFormat="false" ht="15" hidden="false" customHeight="false" outlineLevel="0" collapsed="false">
      <c r="A57" s="3" t="n">
        <v>49</v>
      </c>
      <c r="B57" s="8" t="n">
        <v>45692</v>
      </c>
      <c r="C57" s="8" t="n">
        <v>45692</v>
      </c>
      <c r="D57" s="3" t="s">
        <v>145</v>
      </c>
      <c r="E57" s="3" t="s">
        <v>146</v>
      </c>
      <c r="F57" s="9"/>
      <c r="G57" s="9" t="n">
        <v>1712436.71</v>
      </c>
      <c r="H57" s="9" t="n">
        <f aca="false">H56+G57-F57</f>
        <v>13636503.58</v>
      </c>
    </row>
    <row r="58" customFormat="false" ht="15" hidden="false" customHeight="false" outlineLevel="0" collapsed="false">
      <c r="A58" s="3" t="n">
        <v>50</v>
      </c>
      <c r="B58" s="8" t="n">
        <v>45693</v>
      </c>
      <c r="C58" s="8" t="n">
        <v>45694</v>
      </c>
      <c r="D58" s="3" t="s">
        <v>147</v>
      </c>
      <c r="E58" s="3" t="s">
        <v>148</v>
      </c>
      <c r="F58" s="9"/>
      <c r="G58" s="9" t="n">
        <v>2071500</v>
      </c>
      <c r="H58" s="9" t="n">
        <f aca="false">H57+G58-F58</f>
        <v>15708003.58</v>
      </c>
    </row>
    <row r="59" customFormat="false" ht="15" hidden="false" customHeight="false" outlineLevel="0" collapsed="false">
      <c r="A59" s="3" t="n">
        <v>51</v>
      </c>
      <c r="B59" s="8" t="n">
        <v>45693</v>
      </c>
      <c r="C59" s="8" t="n">
        <v>45693</v>
      </c>
      <c r="D59" s="3" t="s">
        <v>149</v>
      </c>
      <c r="E59" s="3" t="s">
        <v>150</v>
      </c>
      <c r="F59" s="9" t="n">
        <v>85000</v>
      </c>
      <c r="G59" s="9"/>
      <c r="H59" s="9" t="n">
        <f aca="false">H58+G59-F59</f>
        <v>15623003.58</v>
      </c>
    </row>
    <row r="60" customFormat="false" ht="15" hidden="false" customHeight="false" outlineLevel="0" collapsed="false">
      <c r="A60" s="3" t="n">
        <v>52</v>
      </c>
      <c r="B60" s="8" t="n">
        <v>45694</v>
      </c>
      <c r="C60" s="8" t="n">
        <v>45694</v>
      </c>
      <c r="D60" s="3" t="s">
        <v>151</v>
      </c>
      <c r="E60" s="3" t="s">
        <v>152</v>
      </c>
      <c r="F60" s="9"/>
      <c r="G60" s="9" t="n">
        <v>1445169.14</v>
      </c>
      <c r="H60" s="9" t="n">
        <f aca="false">H59+G60-F60</f>
        <v>17068172.72</v>
      </c>
    </row>
    <row r="61" customFormat="false" ht="15" hidden="false" customHeight="false" outlineLevel="0" collapsed="false">
      <c r="A61" s="3" t="n">
        <v>53</v>
      </c>
      <c r="B61" s="8" t="n">
        <v>45695</v>
      </c>
      <c r="C61" s="8" t="n">
        <v>45695</v>
      </c>
      <c r="D61" s="3" t="s">
        <v>153</v>
      </c>
      <c r="E61" s="3" t="s">
        <v>154</v>
      </c>
      <c r="F61" s="9" t="n">
        <v>2146800</v>
      </c>
      <c r="G61" s="9"/>
      <c r="H61" s="9" t="n">
        <f aca="false">H60+G61-F61</f>
        <v>14921372.72</v>
      </c>
    </row>
    <row r="62" customFormat="false" ht="15" hidden="false" customHeight="false" outlineLevel="0" collapsed="false">
      <c r="A62" s="3" t="n">
        <v>54</v>
      </c>
      <c r="B62" s="8" t="n">
        <v>45698</v>
      </c>
      <c r="C62" s="8" t="n">
        <v>45699</v>
      </c>
      <c r="D62" s="3" t="s">
        <v>155</v>
      </c>
      <c r="E62" s="3" t="s">
        <v>156</v>
      </c>
      <c r="F62" s="9"/>
      <c r="G62" s="9" t="n">
        <v>4532000</v>
      </c>
      <c r="H62" s="9" t="n">
        <f aca="false">H61+G62-F62</f>
        <v>19453372.72</v>
      </c>
    </row>
    <row r="63" customFormat="false" ht="15" hidden="false" customHeight="false" outlineLevel="0" collapsed="false">
      <c r="A63" s="3" t="n">
        <v>55</v>
      </c>
      <c r="B63" s="8" t="n">
        <v>45698</v>
      </c>
      <c r="C63" s="8" t="n">
        <v>45698</v>
      </c>
      <c r="D63" s="3" t="s">
        <v>157</v>
      </c>
      <c r="E63" s="3" t="s">
        <v>158</v>
      </c>
      <c r="F63" s="9"/>
      <c r="G63" s="9" t="n">
        <v>3417600</v>
      </c>
      <c r="H63" s="9" t="n">
        <f aca="false">H62+G63-F63</f>
        <v>22870972.72</v>
      </c>
    </row>
    <row r="64" customFormat="false" ht="15" hidden="false" customHeight="false" outlineLevel="0" collapsed="false">
      <c r="A64" s="3" t="n">
        <v>56</v>
      </c>
      <c r="B64" s="8" t="n">
        <v>45698</v>
      </c>
      <c r="C64" s="8" t="n">
        <v>45698</v>
      </c>
      <c r="D64" s="3" t="s">
        <v>159</v>
      </c>
      <c r="E64" s="3" t="s">
        <v>160</v>
      </c>
      <c r="F64" s="9"/>
      <c r="G64" s="9" t="n">
        <v>3370500</v>
      </c>
      <c r="H64" s="9" t="n">
        <f aca="false">H63+G64-F64</f>
        <v>26241472.72</v>
      </c>
    </row>
    <row r="65" customFormat="false" ht="15" hidden="false" customHeight="false" outlineLevel="0" collapsed="false">
      <c r="A65" s="3" t="n">
        <v>57</v>
      </c>
      <c r="B65" s="8" t="n">
        <v>45698</v>
      </c>
      <c r="C65" s="8" t="n">
        <v>45698</v>
      </c>
      <c r="D65" s="3" t="s">
        <v>161</v>
      </c>
      <c r="E65" s="3" t="s">
        <v>162</v>
      </c>
      <c r="F65" s="9"/>
      <c r="G65" s="9" t="n">
        <v>833153.64</v>
      </c>
      <c r="H65" s="9" t="n">
        <f aca="false">H64+G65-F65</f>
        <v>27074626.36</v>
      </c>
    </row>
    <row r="66" customFormat="false" ht="15" hidden="false" customHeight="false" outlineLevel="0" collapsed="false">
      <c r="A66" s="3" t="n">
        <v>58</v>
      </c>
      <c r="B66" s="8" t="n">
        <v>45698</v>
      </c>
      <c r="C66" s="8" t="n">
        <v>45698</v>
      </c>
      <c r="D66" s="3" t="s">
        <v>163</v>
      </c>
      <c r="E66" s="3" t="s">
        <v>164</v>
      </c>
      <c r="F66" s="9" t="n">
        <v>450800</v>
      </c>
      <c r="G66" s="9"/>
      <c r="H66" s="9" t="n">
        <f aca="false">H65+G66-F66</f>
        <v>26623826.36</v>
      </c>
    </row>
    <row r="67" customFormat="false" ht="15" hidden="false" customHeight="false" outlineLevel="0" collapsed="false">
      <c r="A67" s="3" t="n">
        <v>59</v>
      </c>
      <c r="B67" s="8" t="n">
        <v>45698</v>
      </c>
      <c r="C67" s="8" t="n">
        <v>45698</v>
      </c>
      <c r="D67" s="3" t="s">
        <v>165</v>
      </c>
      <c r="E67" s="3" t="s">
        <v>166</v>
      </c>
      <c r="F67" s="9" t="n">
        <v>245000</v>
      </c>
      <c r="G67" s="9"/>
      <c r="H67" s="9" t="n">
        <f aca="false">H66+G67-F67</f>
        <v>26378826.36</v>
      </c>
    </row>
    <row r="68" customFormat="false" ht="15" hidden="false" customHeight="false" outlineLevel="0" collapsed="false">
      <c r="A68" s="3" t="n">
        <v>60</v>
      </c>
      <c r="B68" s="8" t="n">
        <v>45698</v>
      </c>
      <c r="C68" s="8" t="n">
        <v>45698</v>
      </c>
      <c r="D68" s="3" t="s">
        <v>167</v>
      </c>
      <c r="E68" s="3" t="s">
        <v>168</v>
      </c>
      <c r="F68" s="9" t="n">
        <v>130339.28</v>
      </c>
      <c r="G68" s="9"/>
      <c r="H68" s="9" t="n">
        <f aca="false">H67+G68-F68</f>
        <v>26248487.08</v>
      </c>
    </row>
    <row r="69" customFormat="false" ht="15" hidden="false" customHeight="false" outlineLevel="0" collapsed="false">
      <c r="A69" s="3" t="n">
        <v>61</v>
      </c>
      <c r="B69" s="8" t="n">
        <v>45698</v>
      </c>
      <c r="C69" s="8" t="n">
        <v>45698</v>
      </c>
      <c r="D69" s="3" t="s">
        <v>169</v>
      </c>
      <c r="E69" s="3" t="s">
        <v>170</v>
      </c>
      <c r="F69" s="9" t="n">
        <v>686000</v>
      </c>
      <c r="G69" s="9"/>
      <c r="H69" s="9" t="n">
        <f aca="false">H68+G69-F69</f>
        <v>25562487.08</v>
      </c>
    </row>
    <row r="70" customFormat="false" ht="15" hidden="false" customHeight="false" outlineLevel="0" collapsed="false">
      <c r="A70" s="3" t="n">
        <v>62</v>
      </c>
      <c r="B70" s="8" t="n">
        <v>45700</v>
      </c>
      <c r="C70" s="8" t="n">
        <v>45700</v>
      </c>
      <c r="D70" s="3" t="s">
        <v>171</v>
      </c>
      <c r="E70" s="3" t="s">
        <v>172</v>
      </c>
      <c r="F70" s="9" t="n">
        <v>110856.42</v>
      </c>
      <c r="G70" s="9"/>
      <c r="H70" s="9" t="n">
        <f aca="false">H69+G70-F70</f>
        <v>25451630.66</v>
      </c>
    </row>
    <row r="71" customFormat="false" ht="15" hidden="false" customHeight="false" outlineLevel="0" collapsed="false">
      <c r="A71" s="3" t="n">
        <v>63</v>
      </c>
      <c r="B71" s="8" t="n">
        <v>45700</v>
      </c>
      <c r="C71" s="8" t="n">
        <v>45700</v>
      </c>
      <c r="D71" s="3" t="s">
        <v>173</v>
      </c>
      <c r="E71" s="3" t="s">
        <v>174</v>
      </c>
      <c r="F71" s="9" t="n">
        <v>3500000</v>
      </c>
      <c r="G71" s="9"/>
      <c r="H71" s="9" t="n">
        <f aca="false">H70+G71-F71</f>
        <v>21951630.66</v>
      </c>
    </row>
    <row r="72" customFormat="false" ht="15" hidden="false" customHeight="false" outlineLevel="0" collapsed="false">
      <c r="A72" s="3" t="n">
        <v>64</v>
      </c>
      <c r="B72" s="8" t="n">
        <v>45701</v>
      </c>
      <c r="C72" s="8" t="n">
        <v>45701</v>
      </c>
      <c r="D72" s="3" t="s">
        <v>175</v>
      </c>
      <c r="E72" s="3" t="s">
        <v>176</v>
      </c>
      <c r="F72" s="9"/>
      <c r="G72" s="9" t="n">
        <v>4055000</v>
      </c>
      <c r="H72" s="9" t="n">
        <f aca="false">H71+G72-F72</f>
        <v>26006630.66</v>
      </c>
    </row>
    <row r="73" customFormat="false" ht="15" hidden="false" customHeight="false" outlineLevel="0" collapsed="false">
      <c r="A73" s="3" t="n">
        <v>65</v>
      </c>
      <c r="B73" s="8" t="n">
        <v>45701</v>
      </c>
      <c r="C73" s="8" t="n">
        <v>45701</v>
      </c>
      <c r="D73" s="3" t="s">
        <v>177</v>
      </c>
      <c r="E73" s="3" t="s">
        <v>178</v>
      </c>
      <c r="F73" s="9"/>
      <c r="G73" s="9" t="n">
        <v>1081298.02</v>
      </c>
      <c r="H73" s="9" t="n">
        <f aca="false">H72+G73-F73</f>
        <v>27087928.68</v>
      </c>
    </row>
    <row r="74" customFormat="false" ht="15" hidden="false" customHeight="false" outlineLevel="0" collapsed="false">
      <c r="A74" s="3" t="n">
        <v>66</v>
      </c>
      <c r="B74" s="8" t="n">
        <v>45701</v>
      </c>
      <c r="C74" s="8" t="n">
        <v>45701</v>
      </c>
      <c r="D74" s="3" t="s">
        <v>179</v>
      </c>
      <c r="E74" s="3" t="s">
        <v>180</v>
      </c>
      <c r="F74" s="9" t="n">
        <v>2556900</v>
      </c>
      <c r="G74" s="9"/>
      <c r="H74" s="9" t="n">
        <f aca="false">H73+G74-F74</f>
        <v>24531028.68</v>
      </c>
    </row>
    <row r="75" customFormat="false" ht="15" hidden="false" customHeight="false" outlineLevel="0" collapsed="false">
      <c r="A75" s="3" t="n">
        <v>67</v>
      </c>
      <c r="B75" s="8" t="n">
        <v>45701</v>
      </c>
      <c r="C75" s="8" t="n">
        <v>45702</v>
      </c>
      <c r="D75" s="3" t="s">
        <v>181</v>
      </c>
      <c r="E75" s="3" t="s">
        <v>182</v>
      </c>
      <c r="F75" s="9" t="n">
        <v>181244.2</v>
      </c>
      <c r="G75" s="9"/>
      <c r="H75" s="9" t="n">
        <f aca="false">H74+G75-F75</f>
        <v>24349784.48</v>
      </c>
    </row>
    <row r="76" customFormat="false" ht="15" hidden="false" customHeight="false" outlineLevel="0" collapsed="false">
      <c r="A76" s="3" t="n">
        <v>68</v>
      </c>
      <c r="B76" s="8" t="n">
        <v>45702</v>
      </c>
      <c r="C76" s="8" t="n">
        <v>45703</v>
      </c>
      <c r="D76" s="3" t="s">
        <v>183</v>
      </c>
      <c r="E76" s="3" t="s">
        <v>184</v>
      </c>
      <c r="F76" s="9" t="n">
        <v>1463100</v>
      </c>
      <c r="G76" s="9"/>
      <c r="H76" s="9" t="n">
        <f aca="false">H75+G76-F76</f>
        <v>22886684.48</v>
      </c>
    </row>
    <row r="77" customFormat="false" ht="15" hidden="false" customHeight="false" outlineLevel="0" collapsed="false">
      <c r="A77" s="3" t="n">
        <v>69</v>
      </c>
      <c r="B77" s="8" t="n">
        <v>45702</v>
      </c>
      <c r="C77" s="8" t="n">
        <v>45702</v>
      </c>
      <c r="D77" s="3" t="s">
        <v>185</v>
      </c>
      <c r="E77" s="3" t="s">
        <v>186</v>
      </c>
      <c r="F77" s="9" t="n">
        <v>264332.37</v>
      </c>
      <c r="G77" s="9"/>
      <c r="H77" s="9" t="n">
        <f aca="false">H76+G77-F77</f>
        <v>22622352.11</v>
      </c>
    </row>
    <row r="78" customFormat="false" ht="15" hidden="false" customHeight="false" outlineLevel="0" collapsed="false">
      <c r="A78" s="3" t="n">
        <v>70</v>
      </c>
      <c r="B78" s="8" t="n">
        <v>45705</v>
      </c>
      <c r="C78" s="8" t="n">
        <v>45705</v>
      </c>
      <c r="D78" s="3" t="s">
        <v>187</v>
      </c>
      <c r="E78" s="3" t="s">
        <v>188</v>
      </c>
      <c r="F78" s="9" t="n">
        <v>828000</v>
      </c>
      <c r="G78" s="9"/>
      <c r="H78" s="9" t="n">
        <f aca="false">H77+G78-F78</f>
        <v>21794352.11</v>
      </c>
    </row>
    <row r="79" customFormat="false" ht="15" hidden="false" customHeight="false" outlineLevel="0" collapsed="false">
      <c r="A79" s="3" t="n">
        <v>71</v>
      </c>
      <c r="B79" s="8" t="n">
        <v>45705</v>
      </c>
      <c r="C79" s="8" t="n">
        <v>45705</v>
      </c>
      <c r="D79" s="3" t="s">
        <v>189</v>
      </c>
      <c r="E79" s="3" t="s">
        <v>190</v>
      </c>
      <c r="F79" s="9"/>
      <c r="G79" s="9" t="n">
        <v>5000000</v>
      </c>
      <c r="H79" s="9" t="n">
        <f aca="false">H78+G79-F79</f>
        <v>26794352.11</v>
      </c>
    </row>
    <row r="80" customFormat="false" ht="15" hidden="false" customHeight="false" outlineLevel="0" collapsed="false">
      <c r="A80" s="3" t="n">
        <v>72</v>
      </c>
      <c r="B80" s="8" t="n">
        <v>45706</v>
      </c>
      <c r="C80" s="8" t="n">
        <v>45706</v>
      </c>
      <c r="D80" s="3" t="s">
        <v>191</v>
      </c>
      <c r="E80" s="3" t="s">
        <v>192</v>
      </c>
      <c r="F80" s="9"/>
      <c r="G80" s="9" t="n">
        <v>1115450.99</v>
      </c>
      <c r="H80" s="9" t="n">
        <f aca="false">H79+G80-F80</f>
        <v>27909803.1</v>
      </c>
    </row>
    <row r="81" customFormat="false" ht="15" hidden="false" customHeight="false" outlineLevel="0" collapsed="false">
      <c r="A81" s="3" t="n">
        <v>73</v>
      </c>
      <c r="B81" s="8" t="n">
        <v>45707</v>
      </c>
      <c r="C81" s="8" t="n">
        <v>45707</v>
      </c>
      <c r="D81" s="3" t="s">
        <v>193</v>
      </c>
      <c r="E81" s="3" t="s">
        <v>194</v>
      </c>
      <c r="F81" s="9" t="n">
        <v>217100.87</v>
      </c>
      <c r="G81" s="9"/>
      <c r="H81" s="9" t="n">
        <f aca="false">H80+G81-F81</f>
        <v>27692702.23</v>
      </c>
    </row>
    <row r="82" customFormat="false" ht="15" hidden="false" customHeight="false" outlineLevel="0" collapsed="false">
      <c r="A82" s="3" t="n">
        <v>74</v>
      </c>
      <c r="B82" s="8" t="n">
        <v>45708</v>
      </c>
      <c r="C82" s="8" t="n">
        <v>45708</v>
      </c>
      <c r="D82" s="3" t="s">
        <v>195</v>
      </c>
      <c r="E82" s="3" t="s">
        <v>196</v>
      </c>
      <c r="F82" s="9"/>
      <c r="G82" s="9" t="n">
        <v>1603431.52</v>
      </c>
      <c r="H82" s="9" t="n">
        <f aca="false">H81+G82-F82</f>
        <v>29296133.75</v>
      </c>
    </row>
    <row r="83" customFormat="false" ht="15" hidden="false" customHeight="false" outlineLevel="0" collapsed="false">
      <c r="A83" s="3" t="n">
        <v>75</v>
      </c>
      <c r="B83" s="8" t="n">
        <v>45708</v>
      </c>
      <c r="C83" s="8" t="n">
        <v>45709</v>
      </c>
      <c r="D83" s="3" t="s">
        <v>197</v>
      </c>
      <c r="E83" s="3" t="s">
        <v>198</v>
      </c>
      <c r="F83" s="9" t="n">
        <v>600000</v>
      </c>
      <c r="G83" s="9"/>
      <c r="H83" s="9" t="n">
        <f aca="false">H82+G83-F83</f>
        <v>28696133.75</v>
      </c>
    </row>
    <row r="84" customFormat="false" ht="15" hidden="false" customHeight="false" outlineLevel="0" collapsed="false">
      <c r="A84" s="3" t="n">
        <v>76</v>
      </c>
      <c r="B84" s="8" t="n">
        <v>45709</v>
      </c>
      <c r="C84" s="8" t="n">
        <v>45709</v>
      </c>
      <c r="D84" s="3" t="s">
        <v>199</v>
      </c>
      <c r="E84" s="3" t="s">
        <v>200</v>
      </c>
      <c r="F84" s="9" t="n">
        <v>1217257.42</v>
      </c>
      <c r="G84" s="9"/>
      <c r="H84" s="9" t="n">
        <f aca="false">H83+G84-F84</f>
        <v>27478876.33</v>
      </c>
    </row>
    <row r="85" customFormat="false" ht="15" hidden="false" customHeight="false" outlineLevel="0" collapsed="false">
      <c r="A85" s="3" t="n">
        <v>77</v>
      </c>
      <c r="B85" s="8" t="n">
        <v>45712</v>
      </c>
      <c r="C85" s="8" t="n">
        <v>45712</v>
      </c>
      <c r="D85" s="3" t="s">
        <v>201</v>
      </c>
      <c r="E85" s="3" t="s">
        <v>202</v>
      </c>
      <c r="F85" s="9"/>
      <c r="G85" s="9" t="n">
        <v>2774400</v>
      </c>
      <c r="H85" s="9" t="n">
        <f aca="false">H84+G85-F85</f>
        <v>30253276.33</v>
      </c>
    </row>
    <row r="86" customFormat="false" ht="15" hidden="false" customHeight="false" outlineLevel="0" collapsed="false">
      <c r="A86" s="3" t="n">
        <v>78</v>
      </c>
      <c r="B86" s="8" t="n">
        <v>45712</v>
      </c>
      <c r="C86" s="8" t="n">
        <v>45712</v>
      </c>
      <c r="D86" s="3" t="s">
        <v>203</v>
      </c>
      <c r="E86" s="3" t="s">
        <v>204</v>
      </c>
      <c r="F86" s="9"/>
      <c r="G86" s="9" t="n">
        <v>2325200</v>
      </c>
      <c r="H86" s="9" t="n">
        <f aca="false">H85+G86-F86</f>
        <v>32578476.33</v>
      </c>
    </row>
    <row r="87" customFormat="false" ht="15" hidden="false" customHeight="false" outlineLevel="0" collapsed="false">
      <c r="A87" s="3" t="n">
        <v>79</v>
      </c>
      <c r="B87" s="8" t="n">
        <v>45712</v>
      </c>
      <c r="C87" s="8" t="n">
        <v>45713</v>
      </c>
      <c r="D87" s="3" t="s">
        <v>205</v>
      </c>
      <c r="E87" s="3" t="s">
        <v>206</v>
      </c>
      <c r="F87" s="9"/>
      <c r="G87" s="9" t="n">
        <v>577879.19</v>
      </c>
      <c r="H87" s="9" t="n">
        <f aca="false">H86+G87-F87</f>
        <v>33156355.52</v>
      </c>
    </row>
    <row r="88" customFormat="false" ht="15" hidden="false" customHeight="false" outlineLevel="0" collapsed="false">
      <c r="A88" s="3" t="n">
        <v>80</v>
      </c>
      <c r="B88" s="8" t="n">
        <v>45712</v>
      </c>
      <c r="C88" s="8" t="n">
        <v>45712</v>
      </c>
      <c r="D88" s="3" t="s">
        <v>207</v>
      </c>
      <c r="E88" s="3" t="s">
        <v>208</v>
      </c>
      <c r="F88" s="9" t="n">
        <v>96669.86</v>
      </c>
      <c r="G88" s="9"/>
      <c r="H88" s="9" t="n">
        <f aca="false">H87+G88-F88</f>
        <v>33059685.66</v>
      </c>
    </row>
    <row r="89" customFormat="false" ht="15" hidden="false" customHeight="false" outlineLevel="0" collapsed="false">
      <c r="A89" s="3" t="n">
        <v>81</v>
      </c>
      <c r="B89" s="8" t="n">
        <v>45714</v>
      </c>
      <c r="C89" s="8" t="n">
        <v>45714</v>
      </c>
      <c r="D89" s="3" t="s">
        <v>209</v>
      </c>
      <c r="E89" s="3" t="s">
        <v>210</v>
      </c>
      <c r="F89" s="9" t="n">
        <v>2335800</v>
      </c>
      <c r="G89" s="9"/>
      <c r="H89" s="9" t="n">
        <f aca="false">H88+G89-F89</f>
        <v>30723885.66</v>
      </c>
    </row>
    <row r="90" customFormat="false" ht="15" hidden="false" customHeight="false" outlineLevel="0" collapsed="false">
      <c r="A90" s="3" t="n">
        <v>82</v>
      </c>
      <c r="B90" s="8" t="n">
        <v>45715</v>
      </c>
      <c r="C90" s="8" t="n">
        <v>45715</v>
      </c>
      <c r="D90" s="3" t="s">
        <v>211</v>
      </c>
      <c r="E90" s="3" t="s">
        <v>212</v>
      </c>
      <c r="F90" s="9"/>
      <c r="G90" s="9" t="n">
        <v>3450300</v>
      </c>
      <c r="H90" s="9" t="n">
        <f aca="false">H89+G90-F90</f>
        <v>34174185.66</v>
      </c>
    </row>
    <row r="91" customFormat="false" ht="15" hidden="false" customHeight="false" outlineLevel="0" collapsed="false">
      <c r="A91" s="3" t="n">
        <v>83</v>
      </c>
      <c r="B91" s="8" t="n">
        <v>45715</v>
      </c>
      <c r="C91" s="8" t="n">
        <v>45715</v>
      </c>
      <c r="D91" s="3" t="s">
        <v>213</v>
      </c>
      <c r="E91" s="3" t="s">
        <v>214</v>
      </c>
      <c r="F91" s="9"/>
      <c r="G91" s="9" t="n">
        <v>1347294.17</v>
      </c>
      <c r="H91" s="9" t="n">
        <f aca="false">H90+G91-F91</f>
        <v>35521479.83</v>
      </c>
    </row>
    <row r="92" customFormat="false" ht="15" hidden="false" customHeight="false" outlineLevel="0" collapsed="false">
      <c r="A92" s="3" t="n">
        <v>84</v>
      </c>
      <c r="B92" s="8" t="n">
        <v>45715</v>
      </c>
      <c r="C92" s="8" t="n">
        <v>45715</v>
      </c>
      <c r="D92" s="3" t="s">
        <v>215</v>
      </c>
      <c r="E92" s="3" t="s">
        <v>216</v>
      </c>
      <c r="F92" s="9" t="n">
        <v>3781200</v>
      </c>
      <c r="G92" s="9"/>
      <c r="H92" s="9" t="n">
        <f aca="false">H91+G92-F92</f>
        <v>31740279.83</v>
      </c>
    </row>
    <row r="93" customFormat="false" ht="15" hidden="false" customHeight="false" outlineLevel="0" collapsed="false">
      <c r="A93" s="3" t="n">
        <v>85</v>
      </c>
      <c r="B93" s="8" t="n">
        <v>45716</v>
      </c>
      <c r="C93" s="8" t="n">
        <v>45716</v>
      </c>
      <c r="D93" s="3" t="s">
        <v>217</v>
      </c>
      <c r="E93" s="3" t="s">
        <v>192</v>
      </c>
      <c r="F93" s="9"/>
      <c r="G93" s="9" t="n">
        <v>449991.16</v>
      </c>
      <c r="H93" s="9" t="n">
        <f aca="false">H92+G93-F93</f>
        <v>32190270.99</v>
      </c>
    </row>
    <row r="94" customFormat="false" ht="15" hidden="false" customHeight="false" outlineLevel="0" collapsed="false">
      <c r="A94" s="3" t="n">
        <v>86</v>
      </c>
      <c r="B94" s="8" t="n">
        <v>45716</v>
      </c>
      <c r="C94" s="8" t="n">
        <v>45716</v>
      </c>
      <c r="D94" s="3" t="s">
        <v>218</v>
      </c>
      <c r="E94" s="3" t="s">
        <v>219</v>
      </c>
      <c r="F94" s="9" t="n">
        <v>194057.56</v>
      </c>
      <c r="G94" s="9"/>
      <c r="H94" s="9" t="n">
        <f aca="false">H93+G94-F94</f>
        <v>31996213.43</v>
      </c>
    </row>
    <row r="95" customFormat="false" ht="15" hidden="false" customHeight="false" outlineLevel="0" collapsed="false">
      <c r="A95" s="3" t="n">
        <v>87</v>
      </c>
      <c r="B95" s="8" t="n">
        <v>45716</v>
      </c>
      <c r="C95" s="8" t="n">
        <v>45716</v>
      </c>
      <c r="D95" s="3" t="s">
        <v>220</v>
      </c>
      <c r="E95" s="3" t="s">
        <v>221</v>
      </c>
      <c r="F95" s="9" t="n">
        <v>4500</v>
      </c>
      <c r="G95" s="9"/>
      <c r="H95" s="9" t="n">
        <f aca="false">H94+G95-F95</f>
        <v>31991713.43</v>
      </c>
    </row>
    <row r="96" customFormat="false" ht="15" hidden="false" customHeight="false" outlineLevel="0" collapsed="false">
      <c r="A96" s="3" t="n">
        <v>88</v>
      </c>
      <c r="B96" s="8" t="n">
        <v>45716</v>
      </c>
      <c r="C96" s="8" t="n">
        <v>45716</v>
      </c>
      <c r="D96" s="3" t="s">
        <v>222</v>
      </c>
      <c r="E96" s="3" t="s">
        <v>136</v>
      </c>
      <c r="F96" s="9" t="n">
        <v>4721.53</v>
      </c>
      <c r="G96" s="9"/>
      <c r="H96" s="9" t="n">
        <f aca="false">H95+G96-F96</f>
        <v>31986991.9</v>
      </c>
    </row>
    <row r="97" customFormat="false" ht="15" hidden="false" customHeight="false" outlineLevel="0" collapsed="false">
      <c r="A97" s="3" t="n">
        <v>89</v>
      </c>
      <c r="B97" s="8" t="n">
        <v>45716</v>
      </c>
      <c r="C97" s="8" t="n">
        <v>45716</v>
      </c>
      <c r="D97" s="3" t="s">
        <v>223</v>
      </c>
      <c r="E97" s="3" t="s">
        <v>224</v>
      </c>
      <c r="F97" s="9" t="n">
        <v>300</v>
      </c>
      <c r="G97" s="9"/>
      <c r="H97" s="9" t="n">
        <f aca="false">H96+G97-F97</f>
        <v>31986691.9</v>
      </c>
    </row>
    <row r="98" customFormat="false" ht="15" hidden="false" customHeight="false" outlineLevel="0" collapsed="false">
      <c r="A98" s="3" t="n">
        <v>90</v>
      </c>
      <c r="B98" s="8" t="n">
        <v>45716</v>
      </c>
      <c r="C98" s="8" t="n">
        <v>45716</v>
      </c>
      <c r="D98" s="3" t="s">
        <v>225</v>
      </c>
      <c r="E98" s="3" t="s">
        <v>140</v>
      </c>
      <c r="F98" s="9" t="n">
        <v>714.11</v>
      </c>
      <c r="G98" s="9"/>
      <c r="H98" s="9" t="n">
        <f aca="false">H97+G98-F98</f>
        <v>31985977.79</v>
      </c>
    </row>
    <row r="99" customFormat="false" ht="15" hidden="false" customHeight="false" outlineLevel="0" collapsed="false">
      <c r="A99" s="3" t="n">
        <v>91</v>
      </c>
      <c r="B99" s="8" t="n">
        <v>45716</v>
      </c>
      <c r="C99" s="8" t="n">
        <v>45716</v>
      </c>
      <c r="D99" s="3" t="s">
        <v>226</v>
      </c>
      <c r="E99" s="3" t="s">
        <v>227</v>
      </c>
      <c r="F99" s="9" t="n">
        <v>900</v>
      </c>
      <c r="G99" s="9"/>
      <c r="H99" s="9" t="n">
        <f aca="false">H98+G99-F99</f>
        <v>31985077.79</v>
      </c>
    </row>
    <row r="100" customFormat="false" ht="15" hidden="false" customHeight="false" outlineLevel="0" collapsed="false">
      <c r="A100" s="3" t="n">
        <v>92</v>
      </c>
      <c r="B100" s="8" t="n">
        <v>45719</v>
      </c>
      <c r="C100" s="8" t="n">
        <v>45719</v>
      </c>
      <c r="D100" s="3" t="s">
        <v>228</v>
      </c>
      <c r="E100" s="3" t="s">
        <v>229</v>
      </c>
      <c r="F100" s="9"/>
      <c r="G100" s="9" t="n">
        <v>1463500</v>
      </c>
      <c r="H100" s="9" t="n">
        <f aca="false">H99+G100-F100</f>
        <v>33448577.79</v>
      </c>
    </row>
    <row r="101" customFormat="false" ht="15" hidden="false" customHeight="false" outlineLevel="0" collapsed="false">
      <c r="A101" s="3" t="n">
        <v>93</v>
      </c>
      <c r="B101" s="8" t="n">
        <v>45719</v>
      </c>
      <c r="C101" s="8" t="n">
        <v>45719</v>
      </c>
      <c r="D101" s="3" t="s">
        <v>230</v>
      </c>
      <c r="E101" s="3" t="s">
        <v>231</v>
      </c>
      <c r="F101" s="9" t="n">
        <v>211000</v>
      </c>
      <c r="G101" s="9"/>
      <c r="H101" s="9" t="n">
        <f aca="false">H100+G101-F101</f>
        <v>33237577.79</v>
      </c>
    </row>
    <row r="102" customFormat="false" ht="15" hidden="false" customHeight="false" outlineLevel="0" collapsed="false">
      <c r="A102" s="3" t="n">
        <v>94</v>
      </c>
      <c r="B102" s="8" t="n">
        <v>45721</v>
      </c>
      <c r="C102" s="8" t="n">
        <v>45722</v>
      </c>
      <c r="D102" s="3" t="s">
        <v>232</v>
      </c>
      <c r="E102" s="3" t="s">
        <v>233</v>
      </c>
      <c r="F102" s="9"/>
      <c r="G102" s="9" t="n">
        <v>3249500</v>
      </c>
      <c r="H102" s="9" t="n">
        <f aca="false">H101+G102-F102</f>
        <v>36487077.79</v>
      </c>
    </row>
    <row r="103" customFormat="false" ht="15" hidden="false" customHeight="false" outlineLevel="0" collapsed="false">
      <c r="A103" s="3" t="n">
        <v>95</v>
      </c>
      <c r="B103" s="8" t="n">
        <v>45721</v>
      </c>
      <c r="C103" s="8" t="n">
        <v>45721</v>
      </c>
      <c r="D103" s="3" t="s">
        <v>234</v>
      </c>
      <c r="E103" s="3" t="s">
        <v>235</v>
      </c>
      <c r="F103" s="9" t="n">
        <v>85000</v>
      </c>
      <c r="G103" s="9"/>
      <c r="H103" s="9" t="n">
        <f aca="false">H102+G103-F103</f>
        <v>36402077.79</v>
      </c>
    </row>
    <row r="104" customFormat="false" ht="15" hidden="false" customHeight="false" outlineLevel="0" collapsed="false">
      <c r="A104" s="3" t="n">
        <v>96</v>
      </c>
      <c r="B104" s="8" t="n">
        <v>45721</v>
      </c>
      <c r="C104" s="8" t="n">
        <v>45721</v>
      </c>
      <c r="D104" s="3" t="s">
        <v>236</v>
      </c>
      <c r="E104" s="3" t="s">
        <v>237</v>
      </c>
      <c r="F104" s="9" t="n">
        <v>216549.7</v>
      </c>
      <c r="G104" s="9"/>
      <c r="H104" s="9" t="n">
        <f aca="false">H103+G104-F104</f>
        <v>36185528.09</v>
      </c>
    </row>
    <row r="105" customFormat="false" ht="15" hidden="false" customHeight="false" outlineLevel="0" collapsed="false">
      <c r="A105" s="3" t="n">
        <v>97</v>
      </c>
      <c r="B105" s="8" t="n">
        <v>45721</v>
      </c>
      <c r="C105" s="8" t="n">
        <v>45721</v>
      </c>
      <c r="D105" s="3" t="s">
        <v>238</v>
      </c>
      <c r="E105" s="3" t="s">
        <v>239</v>
      </c>
      <c r="F105" s="9" t="n">
        <v>305873.48</v>
      </c>
      <c r="G105" s="9"/>
      <c r="H105" s="9" t="n">
        <f aca="false">H104+G105-F105</f>
        <v>35879654.61</v>
      </c>
    </row>
    <row r="106" customFormat="false" ht="15" hidden="false" customHeight="false" outlineLevel="0" collapsed="false">
      <c r="A106" s="3" t="n">
        <v>98</v>
      </c>
      <c r="B106" s="8" t="n">
        <v>45722</v>
      </c>
      <c r="C106" s="8" t="n">
        <v>45722</v>
      </c>
      <c r="D106" s="3" t="s">
        <v>240</v>
      </c>
      <c r="E106" s="3" t="s">
        <v>241</v>
      </c>
      <c r="F106" s="9"/>
      <c r="G106" s="9" t="n">
        <v>1912292.87</v>
      </c>
      <c r="H106" s="9" t="n">
        <f aca="false">H105+G106-F106</f>
        <v>37791947.48</v>
      </c>
    </row>
    <row r="107" customFormat="false" ht="15" hidden="false" customHeight="false" outlineLevel="0" collapsed="false">
      <c r="A107" s="3" t="n">
        <v>99</v>
      </c>
      <c r="B107" s="8" t="n">
        <v>45722</v>
      </c>
      <c r="C107" s="8" t="n">
        <v>45722</v>
      </c>
      <c r="D107" s="3" t="s">
        <v>242</v>
      </c>
      <c r="E107" s="3" t="s">
        <v>243</v>
      </c>
      <c r="F107" s="9"/>
      <c r="G107" s="9" t="n">
        <v>1250000</v>
      </c>
      <c r="H107" s="9" t="n">
        <f aca="false">H106+G107-F107</f>
        <v>39041947.48</v>
      </c>
    </row>
    <row r="108" customFormat="false" ht="15" hidden="false" customHeight="false" outlineLevel="0" collapsed="false">
      <c r="A108" s="3" t="n">
        <v>100</v>
      </c>
      <c r="B108" s="8" t="n">
        <v>45726</v>
      </c>
      <c r="C108" s="8" t="n">
        <v>45726</v>
      </c>
      <c r="D108" s="3" t="s">
        <v>244</v>
      </c>
      <c r="E108" s="3" t="s">
        <v>245</v>
      </c>
      <c r="F108" s="9"/>
      <c r="G108" s="9" t="n">
        <v>1584900</v>
      </c>
      <c r="H108" s="9" t="n">
        <f aca="false">H107+G108-F108</f>
        <v>40626847.48</v>
      </c>
    </row>
    <row r="109" customFormat="false" ht="15" hidden="false" customHeight="false" outlineLevel="0" collapsed="false">
      <c r="A109" s="3" t="n">
        <v>101</v>
      </c>
      <c r="B109" s="8" t="n">
        <v>45726</v>
      </c>
      <c r="C109" s="8" t="n">
        <v>45726</v>
      </c>
      <c r="D109" s="3" t="s">
        <v>246</v>
      </c>
      <c r="E109" s="3" t="s">
        <v>247</v>
      </c>
      <c r="F109" s="9"/>
      <c r="G109" s="9" t="n">
        <v>2186300</v>
      </c>
      <c r="H109" s="9" t="n">
        <f aca="false">H108+G109-F109</f>
        <v>42813147.48</v>
      </c>
    </row>
    <row r="110" customFormat="false" ht="15" hidden="false" customHeight="false" outlineLevel="0" collapsed="false">
      <c r="A110" s="3" t="n">
        <v>102</v>
      </c>
      <c r="B110" s="8" t="n">
        <v>45726</v>
      </c>
      <c r="C110" s="8" t="n">
        <v>45726</v>
      </c>
      <c r="D110" s="3" t="s">
        <v>248</v>
      </c>
      <c r="E110" s="3" t="s">
        <v>249</v>
      </c>
      <c r="F110" s="9"/>
      <c r="G110" s="9" t="n">
        <v>655343.13</v>
      </c>
      <c r="H110" s="9" t="n">
        <f aca="false">H109+G110-F110</f>
        <v>43468490.61</v>
      </c>
    </row>
    <row r="111" customFormat="false" ht="15" hidden="false" customHeight="false" outlineLevel="0" collapsed="false">
      <c r="A111" s="3" t="n">
        <v>103</v>
      </c>
      <c r="B111" s="8" t="n">
        <v>45726</v>
      </c>
      <c r="C111" s="8" t="n">
        <v>45727</v>
      </c>
      <c r="D111" s="3" t="s">
        <v>250</v>
      </c>
      <c r="E111" s="3" t="s">
        <v>251</v>
      </c>
      <c r="F111" s="9"/>
      <c r="G111" s="9" t="n">
        <v>1670172.55</v>
      </c>
      <c r="H111" s="9" t="n">
        <f aca="false">H110+G111-F111</f>
        <v>45138663.16</v>
      </c>
    </row>
    <row r="112" customFormat="false" ht="15" hidden="false" customHeight="false" outlineLevel="0" collapsed="false">
      <c r="A112" s="3" t="n">
        <v>104</v>
      </c>
      <c r="B112" s="8" t="n">
        <v>45726</v>
      </c>
      <c r="C112" s="8" t="n">
        <v>45726</v>
      </c>
      <c r="D112" s="3" t="s">
        <v>252</v>
      </c>
      <c r="E112" s="3" t="s">
        <v>253</v>
      </c>
      <c r="F112" s="9" t="n">
        <v>450800</v>
      </c>
      <c r="G112" s="9"/>
      <c r="H112" s="9" t="n">
        <f aca="false">H111+G112-F112</f>
        <v>44687863.16</v>
      </c>
    </row>
    <row r="113" customFormat="false" ht="15" hidden="false" customHeight="false" outlineLevel="0" collapsed="false">
      <c r="A113" s="3" t="n">
        <v>105</v>
      </c>
      <c r="B113" s="8" t="n">
        <v>45726</v>
      </c>
      <c r="C113" s="8" t="n">
        <v>45726</v>
      </c>
      <c r="D113" s="3" t="s">
        <v>254</v>
      </c>
      <c r="E113" s="3" t="s">
        <v>255</v>
      </c>
      <c r="F113" s="9" t="n">
        <v>618000</v>
      </c>
      <c r="G113" s="9"/>
      <c r="H113" s="9" t="n">
        <f aca="false">H112+G113-F113</f>
        <v>44069863.16</v>
      </c>
    </row>
    <row r="114" customFormat="false" ht="15" hidden="false" customHeight="false" outlineLevel="0" collapsed="false">
      <c r="A114" s="3" t="n">
        <v>106</v>
      </c>
      <c r="B114" s="8" t="n">
        <v>45726</v>
      </c>
      <c r="C114" s="8" t="n">
        <v>45726</v>
      </c>
      <c r="D114" s="3" t="s">
        <v>256</v>
      </c>
      <c r="E114" s="3" t="s">
        <v>257</v>
      </c>
      <c r="F114" s="9"/>
      <c r="G114" s="9" t="n">
        <v>20000000</v>
      </c>
      <c r="H114" s="9" t="n">
        <f aca="false">H113+G114-F114</f>
        <v>64069863.16</v>
      </c>
    </row>
    <row r="115" customFormat="false" ht="15" hidden="false" customHeight="false" outlineLevel="0" collapsed="false">
      <c r="A115" s="3" t="n">
        <v>107</v>
      </c>
      <c r="B115" s="8" t="n">
        <v>45726</v>
      </c>
      <c r="C115" s="8" t="n">
        <v>45726</v>
      </c>
      <c r="D115" s="3" t="s">
        <v>258</v>
      </c>
      <c r="E115" s="3" t="s">
        <v>259</v>
      </c>
      <c r="F115" s="9" t="n">
        <v>200000</v>
      </c>
      <c r="G115" s="9"/>
      <c r="H115" s="9" t="n">
        <f aca="false">H114+G115-F115</f>
        <v>63869863.16</v>
      </c>
    </row>
    <row r="116" customFormat="false" ht="15" hidden="false" customHeight="false" outlineLevel="0" collapsed="false">
      <c r="A116" s="3" t="n">
        <v>108</v>
      </c>
      <c r="B116" s="8" t="n">
        <v>45726</v>
      </c>
      <c r="C116" s="8" t="n">
        <v>45726</v>
      </c>
      <c r="D116" s="3" t="s">
        <v>260</v>
      </c>
      <c r="E116" s="3" t="s">
        <v>261</v>
      </c>
      <c r="F116" s="9" t="n">
        <v>15000</v>
      </c>
      <c r="G116" s="9"/>
      <c r="H116" s="9" t="n">
        <f aca="false">H115+G116-F116</f>
        <v>63854863.16</v>
      </c>
    </row>
    <row r="117" customFormat="false" ht="15" hidden="false" customHeight="false" outlineLevel="0" collapsed="false">
      <c r="A117" s="3" t="n">
        <v>109</v>
      </c>
      <c r="B117" s="8" t="n">
        <v>45728</v>
      </c>
      <c r="C117" s="8" t="n">
        <v>45728</v>
      </c>
      <c r="D117" s="3" t="s">
        <v>262</v>
      </c>
      <c r="E117" s="3" t="s">
        <v>263</v>
      </c>
      <c r="F117" s="9" t="n">
        <v>2777700</v>
      </c>
      <c r="G117" s="9"/>
      <c r="H117" s="9" t="n">
        <f aca="false">H116+G117-F117</f>
        <v>61077163.16</v>
      </c>
    </row>
    <row r="118" customFormat="false" ht="15" hidden="false" customHeight="false" outlineLevel="0" collapsed="false">
      <c r="A118" s="3" t="n">
        <v>110</v>
      </c>
      <c r="B118" s="8" t="n">
        <v>45728</v>
      </c>
      <c r="C118" s="8" t="n">
        <v>45729</v>
      </c>
      <c r="D118" s="3" t="s">
        <v>264</v>
      </c>
      <c r="E118" s="3" t="s">
        <v>265</v>
      </c>
      <c r="F118" s="9" t="n">
        <v>218499.03</v>
      </c>
      <c r="G118" s="9"/>
      <c r="H118" s="9" t="n">
        <f aca="false">H117+G118-F118</f>
        <v>60858664.13</v>
      </c>
    </row>
    <row r="119" customFormat="false" ht="15" hidden="false" customHeight="false" outlineLevel="0" collapsed="false">
      <c r="A119" s="3" t="n">
        <v>111</v>
      </c>
      <c r="B119" s="8" t="n">
        <v>45729</v>
      </c>
      <c r="C119" s="8" t="n">
        <v>45729</v>
      </c>
      <c r="D119" s="3" t="s">
        <v>266</v>
      </c>
      <c r="E119" s="3" t="s">
        <v>267</v>
      </c>
      <c r="F119" s="9"/>
      <c r="G119" s="9" t="n">
        <v>1402600</v>
      </c>
      <c r="H119" s="9" t="n">
        <f aca="false">H118+G119-F119</f>
        <v>62261264.13</v>
      </c>
    </row>
    <row r="120" customFormat="false" ht="15" hidden="false" customHeight="false" outlineLevel="0" collapsed="false">
      <c r="A120" s="3" t="n">
        <v>112</v>
      </c>
      <c r="B120" s="8" t="n">
        <v>45729</v>
      </c>
      <c r="C120" s="8" t="n">
        <v>45729</v>
      </c>
      <c r="D120" s="3" t="s">
        <v>268</v>
      </c>
      <c r="E120" s="3" t="s">
        <v>269</v>
      </c>
      <c r="F120" s="9"/>
      <c r="G120" s="9" t="n">
        <v>2037735.19</v>
      </c>
      <c r="H120" s="9" t="n">
        <f aca="false">H119+G120-F120</f>
        <v>64298999.32</v>
      </c>
    </row>
    <row r="121" customFormat="false" ht="15" hidden="false" customHeight="false" outlineLevel="0" collapsed="false">
      <c r="A121" s="3" t="n">
        <v>113</v>
      </c>
      <c r="B121" s="8" t="n">
        <v>45729</v>
      </c>
      <c r="C121" s="8" t="n">
        <v>45729</v>
      </c>
      <c r="D121" s="3" t="s">
        <v>270</v>
      </c>
      <c r="E121" s="3" t="s">
        <v>271</v>
      </c>
      <c r="F121" s="9" t="n">
        <v>1312600</v>
      </c>
      <c r="G121" s="9"/>
      <c r="H121" s="9" t="n">
        <f aca="false">H120+G121-F121</f>
        <v>62986399.32</v>
      </c>
    </row>
    <row r="122" customFormat="false" ht="15" hidden="false" customHeight="false" outlineLevel="0" collapsed="false">
      <c r="A122" s="3" t="n">
        <v>114</v>
      </c>
      <c r="B122" s="8" t="n">
        <v>45729</v>
      </c>
      <c r="C122" s="8" t="n">
        <v>45729</v>
      </c>
      <c r="D122" s="3" t="s">
        <v>272</v>
      </c>
      <c r="E122" s="3" t="s">
        <v>273</v>
      </c>
      <c r="F122" s="9" t="n">
        <v>186791.34</v>
      </c>
      <c r="G122" s="9"/>
      <c r="H122" s="9" t="n">
        <f aca="false">H121+G122-F122</f>
        <v>62799607.98</v>
      </c>
    </row>
    <row r="123" customFormat="false" ht="15" hidden="false" customHeight="false" outlineLevel="0" collapsed="false">
      <c r="A123" s="3" t="n">
        <v>115</v>
      </c>
      <c r="B123" s="8" t="n">
        <v>45730</v>
      </c>
      <c r="C123" s="8" t="n">
        <v>45730</v>
      </c>
      <c r="D123" s="3" t="s">
        <v>274</v>
      </c>
      <c r="E123" s="3" t="s">
        <v>275</v>
      </c>
      <c r="F123" s="9" t="n">
        <v>2400000</v>
      </c>
      <c r="G123" s="9"/>
      <c r="H123" s="9" t="n">
        <f aca="false">H122+G123-F123</f>
        <v>60399607.98</v>
      </c>
    </row>
    <row r="124" customFormat="false" ht="15" hidden="false" customHeight="false" outlineLevel="0" collapsed="false">
      <c r="A124" s="3" t="n">
        <v>116</v>
      </c>
      <c r="B124" s="8" t="n">
        <v>45733</v>
      </c>
      <c r="C124" s="8" t="n">
        <v>45733</v>
      </c>
      <c r="D124" s="3" t="s">
        <v>276</v>
      </c>
      <c r="E124" s="3" t="s">
        <v>192</v>
      </c>
      <c r="F124" s="9"/>
      <c r="G124" s="9" t="n">
        <v>492310.18</v>
      </c>
      <c r="H124" s="9" t="n">
        <f aca="false">H123+G124-F124</f>
        <v>60891918.16</v>
      </c>
    </row>
    <row r="125" customFormat="false" ht="15" hidden="false" customHeight="false" outlineLevel="0" collapsed="false">
      <c r="A125" s="3" t="n">
        <v>117</v>
      </c>
      <c r="B125" s="8" t="n">
        <v>45733</v>
      </c>
      <c r="C125" s="8" t="n">
        <v>45733</v>
      </c>
      <c r="D125" s="3" t="s">
        <v>277</v>
      </c>
      <c r="E125" s="3" t="s">
        <v>278</v>
      </c>
      <c r="F125" s="9" t="n">
        <v>828000</v>
      </c>
      <c r="G125" s="9"/>
      <c r="H125" s="9" t="n">
        <f aca="false">H124+G125-F125</f>
        <v>60063918.16</v>
      </c>
    </row>
    <row r="126" customFormat="false" ht="15" hidden="false" customHeight="false" outlineLevel="0" collapsed="false">
      <c r="A126" s="3" t="n">
        <v>118</v>
      </c>
      <c r="B126" s="8" t="n">
        <v>45733</v>
      </c>
      <c r="C126" s="8" t="n">
        <v>45733</v>
      </c>
      <c r="D126" s="3" t="s">
        <v>279</v>
      </c>
      <c r="E126" s="3" t="s">
        <v>280</v>
      </c>
      <c r="F126" s="9" t="n">
        <v>219146.92</v>
      </c>
      <c r="G126" s="9"/>
      <c r="H126" s="9" t="n">
        <f aca="false">H125+G126-F126</f>
        <v>59844771.24</v>
      </c>
    </row>
    <row r="127" customFormat="false" ht="15" hidden="false" customHeight="false" outlineLevel="0" collapsed="false">
      <c r="A127" s="3" t="n">
        <v>119</v>
      </c>
      <c r="B127" s="8" t="n">
        <v>45733</v>
      </c>
      <c r="C127" s="8" t="n">
        <v>45734</v>
      </c>
      <c r="D127" s="3" t="s">
        <v>281</v>
      </c>
      <c r="E127" s="3" t="s">
        <v>282</v>
      </c>
      <c r="F127" s="9" t="n">
        <v>347600</v>
      </c>
      <c r="G127" s="9"/>
      <c r="H127" s="9" t="n">
        <f aca="false">H126+G127-F127</f>
        <v>59497171.24</v>
      </c>
    </row>
    <row r="128" customFormat="false" ht="15" hidden="false" customHeight="false" outlineLevel="0" collapsed="false">
      <c r="A128" s="3" t="n">
        <v>120</v>
      </c>
      <c r="B128" s="8" t="n">
        <v>45734</v>
      </c>
      <c r="C128" s="8" t="n">
        <v>45735</v>
      </c>
      <c r="D128" s="3" t="s">
        <v>283</v>
      </c>
      <c r="E128" s="3" t="s">
        <v>284</v>
      </c>
      <c r="F128" s="9" t="n">
        <v>303220.82</v>
      </c>
      <c r="G128" s="9"/>
      <c r="H128" s="9" t="n">
        <f aca="false">H127+G128-F128</f>
        <v>59193950.42</v>
      </c>
    </row>
    <row r="129" customFormat="false" ht="15" hidden="false" customHeight="false" outlineLevel="0" collapsed="false">
      <c r="A129" s="3" t="n">
        <v>121</v>
      </c>
      <c r="B129" s="8" t="n">
        <v>45735</v>
      </c>
      <c r="C129" s="8" t="n">
        <v>45735</v>
      </c>
      <c r="D129" s="3" t="s">
        <v>285</v>
      </c>
      <c r="E129" s="3" t="s">
        <v>286</v>
      </c>
      <c r="F129" s="9"/>
      <c r="G129" s="9" t="n">
        <v>1245000</v>
      </c>
      <c r="H129" s="9" t="n">
        <f aca="false">H128+G129-F129</f>
        <v>60438950.42</v>
      </c>
    </row>
    <row r="130" customFormat="false" ht="15" hidden="false" customHeight="false" outlineLevel="0" collapsed="false">
      <c r="A130" s="3" t="n">
        <v>122</v>
      </c>
      <c r="B130" s="8" t="n">
        <v>45736</v>
      </c>
      <c r="C130" s="8" t="n">
        <v>45736</v>
      </c>
      <c r="D130" s="3" t="s">
        <v>287</v>
      </c>
      <c r="E130" s="3" t="s">
        <v>288</v>
      </c>
      <c r="F130" s="9"/>
      <c r="G130" s="9" t="n">
        <v>2901400</v>
      </c>
      <c r="H130" s="9" t="n">
        <f aca="false">H129+G130-F130</f>
        <v>63340350.42</v>
      </c>
    </row>
    <row r="131" customFormat="false" ht="15" hidden="false" customHeight="false" outlineLevel="0" collapsed="false">
      <c r="A131" s="3" t="n">
        <v>123</v>
      </c>
      <c r="B131" s="8" t="n">
        <v>45736</v>
      </c>
      <c r="C131" s="8" t="n">
        <v>45736</v>
      </c>
      <c r="D131" s="3" t="s">
        <v>289</v>
      </c>
      <c r="E131" s="3" t="s">
        <v>290</v>
      </c>
      <c r="F131" s="9"/>
      <c r="G131" s="9" t="n">
        <v>1523228.71</v>
      </c>
      <c r="H131" s="9" t="n">
        <f aca="false">H130+G131-F131</f>
        <v>64863579.13</v>
      </c>
    </row>
    <row r="132" customFormat="false" ht="15" hidden="false" customHeight="false" outlineLevel="0" collapsed="false">
      <c r="A132" s="3" t="n">
        <v>124</v>
      </c>
      <c r="B132" s="8" t="n">
        <v>45737</v>
      </c>
      <c r="C132" s="8" t="n">
        <v>45738</v>
      </c>
      <c r="D132" s="3" t="s">
        <v>291</v>
      </c>
      <c r="E132" s="3" t="s">
        <v>292</v>
      </c>
      <c r="F132" s="9" t="n">
        <v>1564242.89</v>
      </c>
      <c r="G132" s="9"/>
      <c r="H132" s="9" t="n">
        <f aca="false">H131+G132-F132</f>
        <v>63299336.24</v>
      </c>
    </row>
    <row r="133" customFormat="false" ht="15" hidden="false" customHeight="false" outlineLevel="0" collapsed="false">
      <c r="A133" s="3" t="n">
        <v>125</v>
      </c>
      <c r="B133" s="8" t="n">
        <v>45740</v>
      </c>
      <c r="C133" s="8" t="n">
        <v>45740</v>
      </c>
      <c r="D133" s="3" t="s">
        <v>293</v>
      </c>
      <c r="E133" s="3" t="s">
        <v>245</v>
      </c>
      <c r="F133" s="9"/>
      <c r="G133" s="9" t="n">
        <v>1343400</v>
      </c>
      <c r="H133" s="9" t="n">
        <f aca="false">H132+G133-F133</f>
        <v>64642736.24</v>
      </c>
    </row>
    <row r="134" customFormat="false" ht="15" hidden="false" customHeight="false" outlineLevel="0" collapsed="false">
      <c r="A134" s="3" t="n">
        <v>126</v>
      </c>
      <c r="B134" s="8" t="n">
        <v>45740</v>
      </c>
      <c r="C134" s="8" t="n">
        <v>45740</v>
      </c>
      <c r="D134" s="3" t="s">
        <v>294</v>
      </c>
      <c r="E134" s="3" t="s">
        <v>295</v>
      </c>
      <c r="F134" s="9"/>
      <c r="G134" s="9" t="n">
        <v>1443100</v>
      </c>
      <c r="H134" s="9" t="n">
        <f aca="false">H133+G134-F134</f>
        <v>66085836.24</v>
      </c>
    </row>
    <row r="135" customFormat="false" ht="15" hidden="false" customHeight="false" outlineLevel="0" collapsed="false">
      <c r="A135" s="3" t="n">
        <v>127</v>
      </c>
      <c r="B135" s="8" t="n">
        <v>45740</v>
      </c>
      <c r="C135" s="8" t="n">
        <v>45740</v>
      </c>
      <c r="D135" s="3" t="s">
        <v>296</v>
      </c>
      <c r="E135" s="3" t="s">
        <v>297</v>
      </c>
      <c r="F135" s="9"/>
      <c r="G135" s="9" t="n">
        <v>801486.49</v>
      </c>
      <c r="H135" s="9" t="n">
        <f aca="false">H134+G135-F135</f>
        <v>66887322.73</v>
      </c>
    </row>
    <row r="136" customFormat="false" ht="15" hidden="false" customHeight="false" outlineLevel="0" collapsed="false">
      <c r="A136" s="3" t="n">
        <v>128</v>
      </c>
      <c r="B136" s="8" t="n">
        <v>45740</v>
      </c>
      <c r="C136" s="8" t="n">
        <v>45740</v>
      </c>
      <c r="D136" s="3" t="s">
        <v>298</v>
      </c>
      <c r="E136" s="3" t="s">
        <v>299</v>
      </c>
      <c r="F136" s="9"/>
      <c r="G136" s="9" t="n">
        <v>1175012.51</v>
      </c>
      <c r="H136" s="9" t="n">
        <f aca="false">H135+G136-F136</f>
        <v>68062335.24</v>
      </c>
    </row>
    <row r="137" customFormat="false" ht="15" hidden="false" customHeight="false" outlineLevel="0" collapsed="false">
      <c r="A137" s="3" t="n">
        <v>129</v>
      </c>
      <c r="B137" s="8" t="n">
        <v>45740</v>
      </c>
      <c r="C137" s="8" t="n">
        <v>45740</v>
      </c>
      <c r="D137" s="3" t="s">
        <v>300</v>
      </c>
      <c r="E137" s="3" t="s">
        <v>301</v>
      </c>
      <c r="F137" s="9" t="n">
        <v>974200</v>
      </c>
      <c r="G137" s="9"/>
      <c r="H137" s="9" t="n">
        <f aca="false">H136+G137-F137</f>
        <v>67088135.24</v>
      </c>
    </row>
    <row r="138" customFormat="false" ht="15" hidden="false" customHeight="false" outlineLevel="0" collapsed="false">
      <c r="A138" s="3" t="n">
        <v>130</v>
      </c>
      <c r="B138" s="8" t="n">
        <v>45740</v>
      </c>
      <c r="C138" s="8" t="n">
        <v>45741</v>
      </c>
      <c r="D138" s="3" t="s">
        <v>302</v>
      </c>
      <c r="E138" s="3" t="s">
        <v>303</v>
      </c>
      <c r="F138" s="9" t="n">
        <v>106848.83</v>
      </c>
      <c r="G138" s="9"/>
      <c r="H138" s="9" t="n">
        <f aca="false">H137+G138-F138</f>
        <v>66981286.41</v>
      </c>
    </row>
    <row r="139" customFormat="false" ht="15" hidden="false" customHeight="false" outlineLevel="0" collapsed="false">
      <c r="A139" s="3" t="n">
        <v>131</v>
      </c>
      <c r="B139" s="8" t="n">
        <v>45740</v>
      </c>
      <c r="C139" s="8" t="n">
        <v>45740</v>
      </c>
      <c r="D139" s="3" t="s">
        <v>304</v>
      </c>
      <c r="E139" s="3" t="s">
        <v>305</v>
      </c>
      <c r="F139" s="9" t="n">
        <v>194100</v>
      </c>
      <c r="G139" s="9"/>
      <c r="H139" s="9" t="n">
        <f aca="false">H138+G139-F139</f>
        <v>66787186.41</v>
      </c>
    </row>
    <row r="140" customFormat="false" ht="15" hidden="false" customHeight="false" outlineLevel="0" collapsed="false">
      <c r="A140" s="3" t="n">
        <v>132</v>
      </c>
      <c r="B140" s="8" t="n">
        <v>45740</v>
      </c>
      <c r="C140" s="8" t="n">
        <v>45740</v>
      </c>
      <c r="D140" s="3" t="s">
        <v>306</v>
      </c>
      <c r="E140" s="3" t="s">
        <v>307</v>
      </c>
      <c r="F140" s="9" t="n">
        <v>543000</v>
      </c>
      <c r="G140" s="9"/>
      <c r="H140" s="9" t="n">
        <f aca="false">H139+G140-F140</f>
        <v>66244186.41</v>
      </c>
    </row>
    <row r="141" customFormat="false" ht="15" hidden="false" customHeight="false" outlineLevel="0" collapsed="false">
      <c r="A141" s="3" t="n">
        <v>133</v>
      </c>
      <c r="B141" s="8" t="n">
        <v>45742</v>
      </c>
      <c r="C141" s="8" t="n">
        <v>45742</v>
      </c>
      <c r="D141" s="3" t="s">
        <v>308</v>
      </c>
      <c r="E141" s="3" t="s">
        <v>309</v>
      </c>
      <c r="F141" s="9" t="n">
        <v>2450500</v>
      </c>
      <c r="G141" s="9"/>
      <c r="H141" s="9" t="n">
        <f aca="false">H140+G141-F141</f>
        <v>63793686.41</v>
      </c>
    </row>
    <row r="142" customFormat="false" ht="15" hidden="false" customHeight="false" outlineLevel="0" collapsed="false">
      <c r="A142" s="3" t="n">
        <v>134</v>
      </c>
      <c r="B142" s="8" t="n">
        <v>45743</v>
      </c>
      <c r="C142" s="8" t="n">
        <v>45743</v>
      </c>
      <c r="D142" s="3" t="s">
        <v>310</v>
      </c>
      <c r="E142" s="3" t="s">
        <v>311</v>
      </c>
      <c r="F142" s="9"/>
      <c r="G142" s="9" t="n">
        <v>975629.48</v>
      </c>
      <c r="H142" s="9" t="n">
        <f aca="false">H141+G142-F142</f>
        <v>64769315.89</v>
      </c>
    </row>
    <row r="143" customFormat="false" ht="15" hidden="false" customHeight="false" outlineLevel="0" collapsed="false">
      <c r="A143" s="3" t="n">
        <v>135</v>
      </c>
      <c r="B143" s="8" t="n">
        <v>45743</v>
      </c>
      <c r="C143" s="8" t="n">
        <v>45744</v>
      </c>
      <c r="D143" s="3" t="s">
        <v>312</v>
      </c>
      <c r="E143" s="3" t="s">
        <v>313</v>
      </c>
      <c r="F143" s="9" t="n">
        <v>3781200</v>
      </c>
      <c r="G143" s="9"/>
      <c r="H143" s="9" t="n">
        <f aca="false">H142+G143-F143</f>
        <v>60988115.89</v>
      </c>
    </row>
    <row r="144" customFormat="false" ht="15" hidden="false" customHeight="false" outlineLevel="0" collapsed="false">
      <c r="A144" s="3" t="n">
        <v>136</v>
      </c>
      <c r="B144" s="8" t="n">
        <v>45747</v>
      </c>
      <c r="C144" s="8" t="n">
        <v>45747</v>
      </c>
      <c r="D144" s="3" t="s">
        <v>314</v>
      </c>
      <c r="E144" s="3" t="s">
        <v>315</v>
      </c>
      <c r="F144" s="9"/>
      <c r="G144" s="9" t="n">
        <v>50923.89</v>
      </c>
      <c r="H144" s="9" t="n">
        <f aca="false">H143+G144-F144</f>
        <v>61039039.78</v>
      </c>
    </row>
    <row r="145" customFormat="false" ht="15" hidden="false" customHeight="false" outlineLevel="0" collapsed="false">
      <c r="A145" s="3" t="n">
        <v>137</v>
      </c>
      <c r="B145" s="8" t="n">
        <v>45747</v>
      </c>
      <c r="C145" s="8" t="n">
        <v>45747</v>
      </c>
      <c r="D145" s="3" t="s">
        <v>316</v>
      </c>
      <c r="E145" s="3" t="s">
        <v>317</v>
      </c>
      <c r="F145" s="9" t="n">
        <v>4500</v>
      </c>
      <c r="G145" s="9"/>
      <c r="H145" s="9" t="n">
        <f aca="false">H144+G145-F145</f>
        <v>61034539.78</v>
      </c>
    </row>
    <row r="146" customFormat="false" ht="15" hidden="false" customHeight="false" outlineLevel="0" collapsed="false">
      <c r="A146" s="3" t="n">
        <v>138</v>
      </c>
      <c r="B146" s="8" t="n">
        <v>45747</v>
      </c>
      <c r="C146" s="8" t="n">
        <v>45747</v>
      </c>
      <c r="D146" s="3" t="s">
        <v>318</v>
      </c>
      <c r="E146" s="3" t="s">
        <v>136</v>
      </c>
      <c r="F146" s="9" t="n">
        <v>4046.34</v>
      </c>
      <c r="G146" s="9"/>
      <c r="H146" s="9" t="n">
        <f aca="false">H145+G146-F146</f>
        <v>61030493.44</v>
      </c>
    </row>
    <row r="147" customFormat="false" ht="15" hidden="false" customHeight="false" outlineLevel="0" collapsed="false">
      <c r="A147" s="3" t="n">
        <v>139</v>
      </c>
      <c r="B147" s="8" t="n">
        <v>45747</v>
      </c>
      <c r="C147" s="8" t="n">
        <v>45748</v>
      </c>
      <c r="D147" s="3" t="s">
        <v>319</v>
      </c>
      <c r="E147" s="3" t="s">
        <v>320</v>
      </c>
      <c r="F147" s="9" t="n">
        <v>350</v>
      </c>
      <c r="G147" s="9"/>
      <c r="H147" s="9" t="n">
        <f aca="false">H146+G147-F147</f>
        <v>61030143.44</v>
      </c>
    </row>
    <row r="148" customFormat="false" ht="15" hidden="false" customHeight="false" outlineLevel="0" collapsed="false">
      <c r="A148" s="3" t="n">
        <v>140</v>
      </c>
      <c r="B148" s="8" t="n">
        <v>45747</v>
      </c>
      <c r="C148" s="8" t="n">
        <v>45748</v>
      </c>
      <c r="D148" s="3" t="s">
        <v>321</v>
      </c>
      <c r="E148" s="3" t="s">
        <v>140</v>
      </c>
      <c r="F148" s="9" t="n">
        <v>667.23</v>
      </c>
      <c r="G148" s="9"/>
      <c r="H148" s="9" t="n">
        <f aca="false">H147+G148-F148</f>
        <v>61029476.21</v>
      </c>
    </row>
    <row r="149" customFormat="false" ht="15" hidden="false" customHeight="false" outlineLevel="0" collapsed="false">
      <c r="A149" s="3" t="n">
        <v>141</v>
      </c>
      <c r="B149" s="8" t="n">
        <v>45747</v>
      </c>
      <c r="C149" s="8" t="n">
        <v>45747</v>
      </c>
      <c r="D149" s="3" t="s">
        <v>322</v>
      </c>
      <c r="E149" s="3" t="s">
        <v>323</v>
      </c>
      <c r="F149" s="9" t="n">
        <v>1050</v>
      </c>
      <c r="G149" s="9"/>
      <c r="H149" s="9" t="n">
        <f aca="false">H148+G149-F149</f>
        <v>61028426.21</v>
      </c>
    </row>
    <row r="150" customFormat="false" ht="15" hidden="false" customHeight="false" outlineLevel="0" collapsed="false">
      <c r="A150" s="3" t="n">
        <v>142</v>
      </c>
      <c r="B150" s="8" t="n">
        <v>45749</v>
      </c>
      <c r="C150" s="8" t="n">
        <v>45749</v>
      </c>
      <c r="D150" s="3" t="s">
        <v>324</v>
      </c>
      <c r="E150" s="3" t="s">
        <v>325</v>
      </c>
      <c r="F150" s="9" t="n">
        <v>3427900</v>
      </c>
      <c r="G150" s="9"/>
      <c r="H150" s="9" t="n">
        <f aca="false">H149+G150-F150</f>
        <v>57600526.21</v>
      </c>
    </row>
    <row r="151" customFormat="false" ht="15" hidden="false" customHeight="false" outlineLevel="0" collapsed="false">
      <c r="A151" s="3" t="n">
        <v>143</v>
      </c>
      <c r="B151" s="8" t="n">
        <v>45750</v>
      </c>
      <c r="C151" s="8" t="n">
        <v>45750</v>
      </c>
      <c r="D151" s="3" t="s">
        <v>326</v>
      </c>
      <c r="E151" s="3" t="s">
        <v>327</v>
      </c>
      <c r="F151" s="9"/>
      <c r="G151" s="9" t="n">
        <v>4575000</v>
      </c>
      <c r="H151" s="9" t="n">
        <f aca="false">H150+G151-F151</f>
        <v>62175526.21</v>
      </c>
    </row>
    <row r="152" customFormat="false" ht="15" hidden="false" customHeight="false" outlineLevel="0" collapsed="false">
      <c r="A152" s="3" t="n">
        <v>144</v>
      </c>
      <c r="B152" s="8" t="n">
        <v>45750</v>
      </c>
      <c r="C152" s="8" t="n">
        <v>45750</v>
      </c>
      <c r="D152" s="3" t="s">
        <v>328</v>
      </c>
      <c r="E152" s="3" t="s">
        <v>329</v>
      </c>
      <c r="F152" s="9"/>
      <c r="G152" s="9" t="n">
        <v>2307300</v>
      </c>
      <c r="H152" s="9" t="n">
        <f aca="false">H151+G152-F152</f>
        <v>64482826.21</v>
      </c>
    </row>
    <row r="153" customFormat="false" ht="15" hidden="false" customHeight="false" outlineLevel="0" collapsed="false">
      <c r="A153" s="3" t="n">
        <v>145</v>
      </c>
      <c r="B153" s="8" t="n">
        <v>45750</v>
      </c>
      <c r="C153" s="8" t="n">
        <v>45750</v>
      </c>
      <c r="D153" s="3" t="s">
        <v>330</v>
      </c>
      <c r="E153" s="3" t="s">
        <v>331</v>
      </c>
      <c r="F153" s="9" t="n">
        <v>3673800</v>
      </c>
      <c r="G153" s="9"/>
      <c r="H153" s="9" t="n">
        <f aca="false">H152+G153-F153</f>
        <v>60809026.21</v>
      </c>
    </row>
    <row r="154" customFormat="false" ht="15" hidden="false" customHeight="false" outlineLevel="0" collapsed="false">
      <c r="A154" s="3" t="n">
        <v>146</v>
      </c>
      <c r="B154" s="8" t="n">
        <v>45750</v>
      </c>
      <c r="C154" s="8" t="n">
        <v>45750</v>
      </c>
      <c r="D154" s="3" t="s">
        <v>332</v>
      </c>
      <c r="E154" s="3" t="s">
        <v>333</v>
      </c>
      <c r="F154" s="9" t="n">
        <v>310800</v>
      </c>
      <c r="G154" s="9"/>
      <c r="H154" s="9" t="n">
        <f aca="false">H153+G154-F154</f>
        <v>60498226.21</v>
      </c>
    </row>
    <row r="155" customFormat="false" ht="15" hidden="false" customHeight="false" outlineLevel="0" collapsed="false">
      <c r="A155" s="3" t="n">
        <v>147</v>
      </c>
      <c r="B155" s="8" t="n">
        <v>45754</v>
      </c>
      <c r="C155" s="8" t="n">
        <v>45755</v>
      </c>
      <c r="D155" s="3" t="s">
        <v>334</v>
      </c>
      <c r="E155" s="3" t="s">
        <v>335</v>
      </c>
      <c r="F155" s="9"/>
      <c r="G155" s="9" t="n">
        <v>1780949.08</v>
      </c>
      <c r="H155" s="9" t="n">
        <f aca="false">H154+G155-F155</f>
        <v>62279175.29</v>
      </c>
    </row>
    <row r="156" customFormat="false" ht="15" hidden="false" customHeight="false" outlineLevel="0" collapsed="false">
      <c r="A156" s="3" t="n">
        <v>148</v>
      </c>
      <c r="B156" s="8" t="n">
        <v>45754</v>
      </c>
      <c r="C156" s="8" t="n">
        <v>45754</v>
      </c>
      <c r="D156" s="3" t="s">
        <v>336</v>
      </c>
      <c r="E156" s="3" t="s">
        <v>337</v>
      </c>
      <c r="F156" s="9" t="n">
        <v>85000</v>
      </c>
      <c r="G156" s="9"/>
      <c r="H156" s="9" t="n">
        <f aca="false">H155+G156-F156</f>
        <v>62194175.29</v>
      </c>
    </row>
    <row r="157" customFormat="false" ht="15" hidden="false" customHeight="false" outlineLevel="0" collapsed="false">
      <c r="A157" s="3" t="n">
        <v>149</v>
      </c>
      <c r="B157" s="8" t="n">
        <v>45754</v>
      </c>
      <c r="C157" s="8" t="n">
        <v>45754</v>
      </c>
      <c r="D157" s="3" t="s">
        <v>338</v>
      </c>
      <c r="E157" s="3" t="s">
        <v>339</v>
      </c>
      <c r="F157" s="9" t="n">
        <v>1500000</v>
      </c>
      <c r="G157" s="9"/>
      <c r="H157" s="9" t="n">
        <f aca="false">H156+G157-F157</f>
        <v>60694175.29</v>
      </c>
    </row>
    <row r="158" customFormat="false" ht="15" hidden="false" customHeight="false" outlineLevel="0" collapsed="false">
      <c r="A158" s="3" t="n">
        <v>150</v>
      </c>
      <c r="B158" s="8" t="n">
        <v>45755</v>
      </c>
      <c r="C158" s="8" t="n">
        <v>45755</v>
      </c>
      <c r="D158" s="3" t="s">
        <v>340</v>
      </c>
      <c r="E158" s="3" t="s">
        <v>341</v>
      </c>
      <c r="F158" s="9" t="n">
        <v>189737.86</v>
      </c>
      <c r="G158" s="9"/>
      <c r="H158" s="9" t="n">
        <f aca="false">H157+G158-F158</f>
        <v>60504437.43</v>
      </c>
    </row>
    <row r="159" customFormat="false" ht="15" hidden="false" customHeight="false" outlineLevel="0" collapsed="false">
      <c r="A159" s="3" t="n">
        <v>151</v>
      </c>
      <c r="B159" s="8" t="n">
        <v>45756</v>
      </c>
      <c r="C159" s="8" t="n">
        <v>45756</v>
      </c>
      <c r="D159" s="3" t="s">
        <v>342</v>
      </c>
      <c r="E159" s="3" t="s">
        <v>343</v>
      </c>
      <c r="F159" s="9"/>
      <c r="G159" s="9" t="n">
        <v>874005.16</v>
      </c>
      <c r="H159" s="9" t="n">
        <f aca="false">H158+G159-F159</f>
        <v>61378442.59</v>
      </c>
    </row>
    <row r="160" customFormat="false" ht="15" hidden="false" customHeight="false" outlineLevel="0" collapsed="false">
      <c r="A160" s="3" t="n">
        <v>152</v>
      </c>
      <c r="B160" s="8" t="n">
        <v>45756</v>
      </c>
      <c r="C160" s="8" t="n">
        <v>45756</v>
      </c>
      <c r="D160" s="3" t="s">
        <v>344</v>
      </c>
      <c r="E160" s="3" t="s">
        <v>345</v>
      </c>
      <c r="F160" s="9" t="n">
        <v>450000</v>
      </c>
      <c r="G160" s="9"/>
      <c r="H160" s="9" t="n">
        <f aca="false">H159+G160-F160</f>
        <v>60928442.59</v>
      </c>
    </row>
    <row r="161" customFormat="false" ht="15" hidden="false" customHeight="false" outlineLevel="0" collapsed="false">
      <c r="A161" s="3" t="n">
        <v>153</v>
      </c>
      <c r="B161" s="8" t="n">
        <v>45757</v>
      </c>
      <c r="C161" s="8" t="n">
        <v>45757</v>
      </c>
      <c r="D161" s="3" t="s">
        <v>346</v>
      </c>
      <c r="E161" s="3" t="s">
        <v>347</v>
      </c>
      <c r="F161" s="9" t="n">
        <v>450800</v>
      </c>
      <c r="G161" s="9"/>
      <c r="H161" s="9" t="n">
        <f aca="false">H160+G161-F161</f>
        <v>60477642.59</v>
      </c>
    </row>
    <row r="162" customFormat="false" ht="15" hidden="false" customHeight="false" outlineLevel="0" collapsed="false">
      <c r="A162" s="3" t="n">
        <v>154</v>
      </c>
      <c r="B162" s="8" t="n">
        <v>45757</v>
      </c>
      <c r="C162" s="8" t="n">
        <v>45758</v>
      </c>
      <c r="D162" s="3" t="s">
        <v>348</v>
      </c>
      <c r="E162" s="3" t="s">
        <v>349</v>
      </c>
      <c r="F162" s="9" t="n">
        <v>417000</v>
      </c>
      <c r="G162" s="9"/>
      <c r="H162" s="9" t="n">
        <f aca="false">H161+G162-F162</f>
        <v>60060642.59</v>
      </c>
    </row>
    <row r="163" customFormat="false" ht="15" hidden="false" customHeight="false" outlineLevel="0" collapsed="false">
      <c r="A163" s="3" t="n">
        <v>155</v>
      </c>
      <c r="B163" s="8" t="n">
        <v>45757</v>
      </c>
      <c r="C163" s="8" t="n">
        <v>45758</v>
      </c>
      <c r="D163" s="3" t="s">
        <v>350</v>
      </c>
      <c r="E163" s="3" t="s">
        <v>351</v>
      </c>
      <c r="F163" s="9" t="n">
        <v>1057421.95</v>
      </c>
      <c r="G163" s="9"/>
      <c r="H163" s="9" t="n">
        <f aca="false">H162+G163-F163</f>
        <v>59003220.64</v>
      </c>
    </row>
    <row r="164" customFormat="false" ht="15" hidden="false" customHeight="false" outlineLevel="0" collapsed="false">
      <c r="A164" s="3" t="n">
        <v>156</v>
      </c>
      <c r="B164" s="8" t="n">
        <v>45761</v>
      </c>
      <c r="C164" s="8" t="n">
        <v>45761</v>
      </c>
      <c r="D164" s="3" t="s">
        <v>352</v>
      </c>
      <c r="E164" s="3" t="s">
        <v>353</v>
      </c>
      <c r="F164" s="9"/>
      <c r="G164" s="9" t="n">
        <v>2956500</v>
      </c>
      <c r="H164" s="9" t="n">
        <f aca="false">H163+G164-F164</f>
        <v>61959720.64</v>
      </c>
    </row>
    <row r="165" customFormat="false" ht="15" hidden="false" customHeight="false" outlineLevel="0" collapsed="false">
      <c r="A165" s="3" t="n">
        <v>157</v>
      </c>
      <c r="B165" s="8" t="n">
        <v>45761</v>
      </c>
      <c r="C165" s="8" t="n">
        <v>45761</v>
      </c>
      <c r="D165" s="3" t="s">
        <v>354</v>
      </c>
      <c r="E165" s="3" t="s">
        <v>355</v>
      </c>
      <c r="F165" s="9"/>
      <c r="G165" s="9" t="n">
        <v>1594824.13</v>
      </c>
      <c r="H165" s="9" t="n">
        <f aca="false">H164+G165-F165</f>
        <v>63554544.77</v>
      </c>
    </row>
    <row r="166" customFormat="false" ht="15" hidden="false" customHeight="false" outlineLevel="0" collapsed="false">
      <c r="A166" s="3" t="n">
        <v>158</v>
      </c>
      <c r="B166" s="8" t="n">
        <v>45761</v>
      </c>
      <c r="C166" s="8" t="n">
        <v>45761</v>
      </c>
      <c r="D166" s="3" t="s">
        <v>356</v>
      </c>
      <c r="E166" s="3" t="s">
        <v>357</v>
      </c>
      <c r="F166" s="9" t="n">
        <v>3529100</v>
      </c>
      <c r="G166" s="9"/>
      <c r="H166" s="9" t="n">
        <f aca="false">H165+G166-F166</f>
        <v>60025444.77</v>
      </c>
    </row>
    <row r="167" customFormat="false" ht="15" hidden="false" customHeight="false" outlineLevel="0" collapsed="false">
      <c r="A167" s="3" t="n">
        <v>159</v>
      </c>
      <c r="B167" s="8" t="n">
        <v>45761</v>
      </c>
      <c r="C167" s="8" t="n">
        <v>45762</v>
      </c>
      <c r="D167" s="3" t="s">
        <v>358</v>
      </c>
      <c r="E167" s="3" t="s">
        <v>359</v>
      </c>
      <c r="F167" s="9" t="n">
        <v>3583400</v>
      </c>
      <c r="G167" s="9"/>
      <c r="H167" s="9" t="n">
        <f aca="false">H166+G167-F167</f>
        <v>56442044.77</v>
      </c>
    </row>
    <row r="168" customFormat="false" ht="15" hidden="false" customHeight="false" outlineLevel="0" collapsed="false">
      <c r="A168" s="3" t="n">
        <v>160</v>
      </c>
      <c r="B168" s="8" t="n">
        <v>45761</v>
      </c>
      <c r="C168" s="8" t="n">
        <v>45761</v>
      </c>
      <c r="D168" s="3" t="s">
        <v>360</v>
      </c>
      <c r="E168" s="3" t="s">
        <v>361</v>
      </c>
      <c r="F168" s="9" t="n">
        <v>160511.74</v>
      </c>
      <c r="G168" s="9"/>
      <c r="H168" s="9" t="n">
        <f aca="false">H167+G168-F168</f>
        <v>56281533.03</v>
      </c>
    </row>
    <row r="169" customFormat="false" ht="15" hidden="false" customHeight="false" outlineLevel="0" collapsed="false">
      <c r="A169" s="3" t="n">
        <v>161</v>
      </c>
      <c r="B169" s="8" t="n">
        <v>45761</v>
      </c>
      <c r="C169" s="8" t="n">
        <v>45761</v>
      </c>
      <c r="D169" s="3" t="s">
        <v>362</v>
      </c>
      <c r="E169" s="3" t="s">
        <v>363</v>
      </c>
      <c r="F169" s="9" t="n">
        <v>117010.65</v>
      </c>
      <c r="G169" s="9"/>
      <c r="H169" s="9" t="n">
        <f aca="false">H168+G169-F169</f>
        <v>56164522.38</v>
      </c>
    </row>
    <row r="170" customFormat="false" ht="15" hidden="false" customHeight="false" outlineLevel="0" collapsed="false">
      <c r="A170" s="3" t="n">
        <v>162</v>
      </c>
      <c r="B170" s="8" t="n">
        <v>45761</v>
      </c>
      <c r="C170" s="8" t="n">
        <v>45762</v>
      </c>
      <c r="D170" s="3" t="s">
        <v>364</v>
      </c>
      <c r="E170" s="3" t="s">
        <v>365</v>
      </c>
      <c r="F170" s="9" t="n">
        <v>448000</v>
      </c>
      <c r="G170" s="9"/>
      <c r="H170" s="9" t="n">
        <f aca="false">H169+G170-F170</f>
        <v>55716522.38</v>
      </c>
    </row>
    <row r="171" customFormat="false" ht="15" hidden="false" customHeight="false" outlineLevel="0" collapsed="false">
      <c r="A171" s="3" t="n">
        <v>163</v>
      </c>
      <c r="B171" s="8" t="n">
        <v>45762</v>
      </c>
      <c r="C171" s="8" t="n">
        <v>45762</v>
      </c>
      <c r="D171" s="3" t="s">
        <v>366</v>
      </c>
      <c r="E171" s="3" t="s">
        <v>367</v>
      </c>
      <c r="F171" s="9"/>
      <c r="G171" s="9" t="n">
        <v>4009000</v>
      </c>
      <c r="H171" s="9" t="n">
        <f aca="false">H170+G171-F171</f>
        <v>59725522.38</v>
      </c>
    </row>
    <row r="172" customFormat="false" ht="15" hidden="false" customHeight="false" outlineLevel="0" collapsed="false">
      <c r="A172" s="3" t="n">
        <v>164</v>
      </c>
      <c r="B172" s="8" t="n">
        <v>45762</v>
      </c>
      <c r="C172" s="8" t="n">
        <v>45763</v>
      </c>
      <c r="D172" s="3" t="s">
        <v>368</v>
      </c>
      <c r="E172" s="3" t="s">
        <v>369</v>
      </c>
      <c r="F172" s="9" t="n">
        <v>1699100</v>
      </c>
      <c r="G172" s="9"/>
      <c r="H172" s="9" t="n">
        <f aca="false">H171+G172-F172</f>
        <v>58026422.38</v>
      </c>
    </row>
    <row r="173" customFormat="false" ht="15" hidden="false" customHeight="false" outlineLevel="0" collapsed="false">
      <c r="A173" s="3" t="n">
        <v>165</v>
      </c>
      <c r="B173" s="8" t="n">
        <v>45762</v>
      </c>
      <c r="C173" s="8" t="n">
        <v>45762</v>
      </c>
      <c r="D173" s="3" t="s">
        <v>370</v>
      </c>
      <c r="E173" s="3" t="s">
        <v>371</v>
      </c>
      <c r="F173" s="9" t="n">
        <v>828000</v>
      </c>
      <c r="G173" s="9"/>
      <c r="H173" s="9" t="n">
        <f aca="false">H172+G173-F173</f>
        <v>57198422.38</v>
      </c>
    </row>
    <row r="174" customFormat="false" ht="15" hidden="false" customHeight="false" outlineLevel="0" collapsed="false">
      <c r="A174" s="3" t="n">
        <v>166</v>
      </c>
      <c r="B174" s="8" t="n">
        <v>45762</v>
      </c>
      <c r="C174" s="8" t="n">
        <v>45762</v>
      </c>
      <c r="D174" s="3" t="s">
        <v>372</v>
      </c>
      <c r="E174" s="3" t="s">
        <v>373</v>
      </c>
      <c r="F174" s="9" t="n">
        <v>223800</v>
      </c>
      <c r="G174" s="9"/>
      <c r="H174" s="9" t="n">
        <f aca="false">H173+G174-F174</f>
        <v>56974622.38</v>
      </c>
    </row>
    <row r="175" customFormat="false" ht="15" hidden="false" customHeight="false" outlineLevel="0" collapsed="false">
      <c r="A175" s="3" t="n">
        <v>167</v>
      </c>
      <c r="B175" s="8" t="n">
        <v>45763</v>
      </c>
      <c r="C175" s="8" t="n">
        <v>45763</v>
      </c>
      <c r="D175" s="3" t="s">
        <v>374</v>
      </c>
      <c r="E175" s="3" t="s">
        <v>192</v>
      </c>
      <c r="F175" s="9"/>
      <c r="G175" s="9" t="n">
        <v>1209659.88</v>
      </c>
      <c r="H175" s="9" t="n">
        <f aca="false">H174+G175-F175</f>
        <v>58184282.26</v>
      </c>
    </row>
    <row r="176" customFormat="false" ht="15" hidden="false" customHeight="false" outlineLevel="0" collapsed="false">
      <c r="A176" s="3" t="n">
        <v>168</v>
      </c>
      <c r="B176" s="8" t="n">
        <v>45764</v>
      </c>
      <c r="C176" s="8" t="n">
        <v>45764</v>
      </c>
      <c r="D176" s="3" t="s">
        <v>375</v>
      </c>
      <c r="E176" s="3" t="s">
        <v>376</v>
      </c>
      <c r="F176" s="9" t="n">
        <v>319559.42</v>
      </c>
      <c r="G176" s="9"/>
      <c r="H176" s="9" t="n">
        <f aca="false">H175+G176-F176</f>
        <v>57864722.84</v>
      </c>
    </row>
    <row r="177" customFormat="false" ht="15" hidden="false" customHeight="false" outlineLevel="0" collapsed="false">
      <c r="A177" s="3" t="n">
        <v>169</v>
      </c>
      <c r="B177" s="8" t="n">
        <v>45765</v>
      </c>
      <c r="C177" s="8" t="n">
        <v>45765</v>
      </c>
      <c r="D177" s="3" t="s">
        <v>377</v>
      </c>
      <c r="E177" s="3" t="s">
        <v>378</v>
      </c>
      <c r="F177" s="9"/>
      <c r="G177" s="9" t="n">
        <v>1626100</v>
      </c>
      <c r="H177" s="9" t="n">
        <f aca="false">H176+G177-F177</f>
        <v>59490822.84</v>
      </c>
    </row>
    <row r="178" customFormat="false" ht="15" hidden="false" customHeight="false" outlineLevel="0" collapsed="false">
      <c r="A178" s="3" t="n">
        <v>170</v>
      </c>
      <c r="B178" s="8" t="n">
        <v>45768</v>
      </c>
      <c r="C178" s="8" t="n">
        <v>45768</v>
      </c>
      <c r="D178" s="3" t="s">
        <v>379</v>
      </c>
      <c r="E178" s="3" t="s">
        <v>380</v>
      </c>
      <c r="F178" s="9"/>
      <c r="G178" s="9" t="n">
        <v>996243.66</v>
      </c>
      <c r="H178" s="9" t="n">
        <f aca="false">H177+G178-F178</f>
        <v>60487066.5</v>
      </c>
    </row>
    <row r="179" customFormat="false" ht="15" hidden="false" customHeight="false" outlineLevel="0" collapsed="false">
      <c r="A179" s="3" t="n">
        <v>171</v>
      </c>
      <c r="B179" s="8" t="n">
        <v>45768</v>
      </c>
      <c r="C179" s="8" t="n">
        <v>45768</v>
      </c>
      <c r="D179" s="3" t="s">
        <v>381</v>
      </c>
      <c r="E179" s="3" t="s">
        <v>192</v>
      </c>
      <c r="F179" s="9"/>
      <c r="G179" s="9" t="n">
        <v>516248.04</v>
      </c>
      <c r="H179" s="9" t="n">
        <f aca="false">H178+G179-F179</f>
        <v>61003314.54</v>
      </c>
    </row>
    <row r="180" customFormat="false" ht="15" hidden="false" customHeight="false" outlineLevel="0" collapsed="false">
      <c r="A180" s="3" t="n">
        <v>172</v>
      </c>
      <c r="B180" s="8" t="n">
        <v>45768</v>
      </c>
      <c r="C180" s="8" t="n">
        <v>45768</v>
      </c>
      <c r="D180" s="3" t="s">
        <v>382</v>
      </c>
      <c r="E180" s="3" t="s">
        <v>383</v>
      </c>
      <c r="F180" s="9" t="n">
        <v>1109600</v>
      </c>
      <c r="G180" s="9"/>
      <c r="H180" s="9" t="n">
        <f aca="false">H179+G180-F180</f>
        <v>59893714.54</v>
      </c>
    </row>
    <row r="181" customFormat="false" ht="15" hidden="false" customHeight="false" outlineLevel="0" collapsed="false">
      <c r="A181" s="3" t="n">
        <v>173</v>
      </c>
      <c r="B181" s="8" t="n">
        <v>45768</v>
      </c>
      <c r="C181" s="8" t="n">
        <v>45768</v>
      </c>
      <c r="D181" s="3" t="s">
        <v>384</v>
      </c>
      <c r="E181" s="3" t="s">
        <v>385</v>
      </c>
      <c r="F181" s="9" t="n">
        <v>1160030.57</v>
      </c>
      <c r="G181" s="9"/>
      <c r="H181" s="9" t="n">
        <f aca="false">H180+G181-F181</f>
        <v>58733683.97</v>
      </c>
    </row>
    <row r="182" customFormat="false" ht="15" hidden="false" customHeight="false" outlineLevel="0" collapsed="false">
      <c r="A182" s="3" t="n">
        <v>174</v>
      </c>
      <c r="B182" s="8" t="n">
        <v>45768</v>
      </c>
      <c r="C182" s="8" t="n">
        <v>45768</v>
      </c>
      <c r="D182" s="3" t="s">
        <v>386</v>
      </c>
      <c r="E182" s="3" t="s">
        <v>387</v>
      </c>
      <c r="F182" s="9" t="n">
        <v>280147.57</v>
      </c>
      <c r="G182" s="9"/>
      <c r="H182" s="9" t="n">
        <f aca="false">H181+G182-F182</f>
        <v>58453536.4</v>
      </c>
    </row>
    <row r="183" customFormat="false" ht="15" hidden="false" customHeight="false" outlineLevel="0" collapsed="false">
      <c r="A183" s="3" t="n">
        <v>175</v>
      </c>
      <c r="B183" s="8" t="n">
        <v>45768</v>
      </c>
      <c r="C183" s="8" t="n">
        <v>45768</v>
      </c>
      <c r="D183" s="3" t="s">
        <v>388</v>
      </c>
      <c r="E183" s="3" t="s">
        <v>389</v>
      </c>
      <c r="F183" s="9" t="n">
        <v>216768.18</v>
      </c>
      <c r="G183" s="9"/>
      <c r="H183" s="9" t="n">
        <f aca="false">H182+G183-F183</f>
        <v>58236768.22</v>
      </c>
    </row>
    <row r="184" customFormat="false" ht="15" hidden="false" customHeight="false" outlineLevel="0" collapsed="false">
      <c r="A184" s="3" t="n">
        <v>176</v>
      </c>
      <c r="B184" s="8" t="n">
        <v>45769</v>
      </c>
      <c r="C184" s="8" t="n">
        <v>45769</v>
      </c>
      <c r="D184" s="3" t="s">
        <v>390</v>
      </c>
      <c r="E184" s="3" t="s">
        <v>391</v>
      </c>
      <c r="F184" s="9" t="n">
        <v>167194.14</v>
      </c>
      <c r="G184" s="9"/>
      <c r="H184" s="9" t="n">
        <f aca="false">H183+G184-F184</f>
        <v>58069574.08</v>
      </c>
    </row>
    <row r="185" customFormat="false" ht="15" hidden="false" customHeight="false" outlineLevel="0" collapsed="false">
      <c r="A185" s="3" t="n">
        <v>177</v>
      </c>
      <c r="B185" s="8" t="n">
        <v>45770</v>
      </c>
      <c r="C185" s="8" t="n">
        <v>45770</v>
      </c>
      <c r="D185" s="3" t="s">
        <v>392</v>
      </c>
      <c r="E185" s="3" t="s">
        <v>393</v>
      </c>
      <c r="F185" s="9"/>
      <c r="G185" s="9" t="n">
        <v>1641600</v>
      </c>
      <c r="H185" s="9" t="n">
        <f aca="false">H184+G185-F185</f>
        <v>59711174.08</v>
      </c>
    </row>
    <row r="186" customFormat="false" ht="15" hidden="false" customHeight="false" outlineLevel="0" collapsed="false">
      <c r="A186" s="3" t="n">
        <v>178</v>
      </c>
      <c r="B186" s="8" t="n">
        <v>45770</v>
      </c>
      <c r="C186" s="8" t="n">
        <v>45771</v>
      </c>
      <c r="D186" s="3" t="s">
        <v>394</v>
      </c>
      <c r="E186" s="3" t="s">
        <v>395</v>
      </c>
      <c r="F186" s="9"/>
      <c r="G186" s="9" t="n">
        <v>760871.08</v>
      </c>
      <c r="H186" s="9" t="n">
        <f aca="false">H185+G186-F186</f>
        <v>60472045.16</v>
      </c>
    </row>
    <row r="187" customFormat="false" ht="15" hidden="false" customHeight="false" outlineLevel="0" collapsed="false">
      <c r="A187" s="3" t="n">
        <v>179</v>
      </c>
      <c r="B187" s="8" t="n">
        <v>45770</v>
      </c>
      <c r="C187" s="8" t="n">
        <v>45771</v>
      </c>
      <c r="D187" s="3" t="s">
        <v>396</v>
      </c>
      <c r="E187" s="3" t="s">
        <v>397</v>
      </c>
      <c r="F187" s="9" t="n">
        <v>213630.86</v>
      </c>
      <c r="G187" s="9"/>
      <c r="H187" s="9" t="n">
        <f aca="false">H186+G187-F187</f>
        <v>60258414.3</v>
      </c>
    </row>
    <row r="188" customFormat="false" ht="15" hidden="false" customHeight="false" outlineLevel="0" collapsed="false">
      <c r="A188" s="3" t="n">
        <v>180</v>
      </c>
      <c r="B188" s="8" t="n">
        <v>45771</v>
      </c>
      <c r="C188" s="8" t="n">
        <v>45772</v>
      </c>
      <c r="D188" s="3" t="s">
        <v>398</v>
      </c>
      <c r="E188" s="3" t="s">
        <v>399</v>
      </c>
      <c r="F188" s="9" t="n">
        <v>900000</v>
      </c>
      <c r="G188" s="9"/>
      <c r="H188" s="9" t="n">
        <f aca="false">H187+G188-F188</f>
        <v>59358414.3</v>
      </c>
    </row>
    <row r="189" customFormat="false" ht="15" hidden="false" customHeight="false" outlineLevel="0" collapsed="false">
      <c r="A189" s="3" t="n">
        <v>181</v>
      </c>
      <c r="B189" s="8" t="n">
        <v>45772</v>
      </c>
      <c r="C189" s="8" t="n">
        <v>45772</v>
      </c>
      <c r="D189" s="3" t="s">
        <v>400</v>
      </c>
      <c r="E189" s="3" t="s">
        <v>401</v>
      </c>
      <c r="F189" s="9"/>
      <c r="G189" s="9" t="n">
        <v>788133.11</v>
      </c>
      <c r="H189" s="9" t="n">
        <f aca="false">H188+G189-F189</f>
        <v>60146547.41</v>
      </c>
    </row>
    <row r="190" customFormat="false" ht="15" hidden="false" customHeight="false" outlineLevel="0" collapsed="false">
      <c r="A190" s="3" t="n">
        <v>182</v>
      </c>
      <c r="B190" s="8" t="n">
        <v>45775</v>
      </c>
      <c r="C190" s="8" t="n">
        <v>45775</v>
      </c>
      <c r="D190" s="3" t="s">
        <v>402</v>
      </c>
      <c r="E190" s="3" t="s">
        <v>403</v>
      </c>
      <c r="F190" s="9"/>
      <c r="G190" s="9" t="n">
        <v>1059314.68</v>
      </c>
      <c r="H190" s="9" t="n">
        <f aca="false">H189+G190-F190</f>
        <v>61205862.09</v>
      </c>
    </row>
    <row r="191" customFormat="false" ht="15" hidden="false" customHeight="false" outlineLevel="0" collapsed="false">
      <c r="A191" s="3" t="n">
        <v>183</v>
      </c>
      <c r="B191" s="8" t="n">
        <v>45775</v>
      </c>
      <c r="C191" s="8" t="n">
        <v>45775</v>
      </c>
      <c r="D191" s="3" t="s">
        <v>404</v>
      </c>
      <c r="E191" s="3" t="s">
        <v>405</v>
      </c>
      <c r="F191" s="9" t="n">
        <v>3781200</v>
      </c>
      <c r="G191" s="9"/>
      <c r="H191" s="9" t="n">
        <f aca="false">H190+G191-F191</f>
        <v>57424662.09</v>
      </c>
    </row>
    <row r="192" customFormat="false" ht="15" hidden="false" customHeight="false" outlineLevel="0" collapsed="false">
      <c r="A192" s="3" t="n">
        <v>184</v>
      </c>
      <c r="B192" s="8" t="n">
        <v>45777</v>
      </c>
      <c r="C192" s="8" t="n">
        <v>45778</v>
      </c>
      <c r="D192" s="3" t="s">
        <v>406</v>
      </c>
      <c r="E192" s="3" t="s">
        <v>407</v>
      </c>
      <c r="F192" s="9" t="n">
        <v>4500</v>
      </c>
      <c r="G192" s="9"/>
      <c r="H192" s="9" t="n">
        <f aca="false">H191+G192-F192</f>
        <v>57420162.09</v>
      </c>
    </row>
    <row r="193" customFormat="false" ht="15" hidden="false" customHeight="false" outlineLevel="0" collapsed="false">
      <c r="A193" s="3" t="n">
        <v>185</v>
      </c>
      <c r="B193" s="8" t="n">
        <v>45777</v>
      </c>
      <c r="C193" s="8" t="n">
        <v>45777</v>
      </c>
      <c r="D193" s="3" t="s">
        <v>408</v>
      </c>
      <c r="E193" s="3" t="s">
        <v>136</v>
      </c>
      <c r="F193" s="9" t="n">
        <v>4482.72</v>
      </c>
      <c r="G193" s="9"/>
      <c r="H193" s="9" t="n">
        <f aca="false">H192+G193-F193</f>
        <v>57415679.37</v>
      </c>
    </row>
    <row r="194" customFormat="false" ht="15" hidden="false" customHeight="false" outlineLevel="0" collapsed="false">
      <c r="A194" s="3" t="n">
        <v>186</v>
      </c>
      <c r="B194" s="8" t="n">
        <v>45777</v>
      </c>
      <c r="C194" s="8" t="n">
        <v>45777</v>
      </c>
      <c r="D194" s="3" t="s">
        <v>409</v>
      </c>
      <c r="E194" s="3" t="s">
        <v>320</v>
      </c>
      <c r="F194" s="9" t="n">
        <v>350</v>
      </c>
      <c r="G194" s="9"/>
      <c r="H194" s="9" t="n">
        <f aca="false">H193+G194-F194</f>
        <v>57415329.37</v>
      </c>
    </row>
    <row r="195" customFormat="false" ht="15" hidden="false" customHeight="false" outlineLevel="0" collapsed="false">
      <c r="A195" s="3" t="n">
        <v>187</v>
      </c>
      <c r="B195" s="8" t="n">
        <v>45777</v>
      </c>
      <c r="C195" s="8" t="n">
        <v>45777</v>
      </c>
      <c r="D195" s="3" t="s">
        <v>410</v>
      </c>
      <c r="E195" s="3" t="s">
        <v>140</v>
      </c>
      <c r="F195" s="9" t="n">
        <v>699.95</v>
      </c>
      <c r="G195" s="9"/>
      <c r="H195" s="9" t="n">
        <f aca="false">H194+G195-F195</f>
        <v>57414629.42</v>
      </c>
    </row>
    <row r="196" customFormat="false" ht="15" hidden="false" customHeight="false" outlineLevel="0" collapsed="false">
      <c r="A196" s="3" t="n">
        <v>188</v>
      </c>
      <c r="B196" s="8" t="n">
        <v>45777</v>
      </c>
      <c r="C196" s="8" t="n">
        <v>45777</v>
      </c>
      <c r="D196" s="3" t="s">
        <v>411</v>
      </c>
      <c r="E196" s="3" t="s">
        <v>412</v>
      </c>
      <c r="F196" s="9" t="n">
        <v>750</v>
      </c>
      <c r="G196" s="9"/>
      <c r="H196" s="9" t="n">
        <f aca="false">H195+G196-F196</f>
        <v>57413879.42</v>
      </c>
    </row>
    <row r="197" customFormat="false" ht="15" hidden="false" customHeight="false" outlineLevel="0" collapsed="false">
      <c r="A197" s="3" t="n">
        <v>189</v>
      </c>
      <c r="B197" s="8" t="n">
        <v>45779</v>
      </c>
      <c r="C197" s="8" t="n">
        <v>45779</v>
      </c>
      <c r="D197" s="3" t="s">
        <v>413</v>
      </c>
      <c r="E197" s="3" t="s">
        <v>414</v>
      </c>
      <c r="F197" s="9"/>
      <c r="G197" s="9" t="n">
        <v>3454200</v>
      </c>
      <c r="H197" s="9" t="n">
        <f aca="false">H196+G197-F197</f>
        <v>60868079.42</v>
      </c>
    </row>
    <row r="198" customFormat="false" ht="15" hidden="false" customHeight="false" outlineLevel="0" collapsed="false">
      <c r="A198" s="3" t="n">
        <v>190</v>
      </c>
      <c r="B198" s="8" t="n">
        <v>45782</v>
      </c>
      <c r="C198" s="8" t="n">
        <v>45782</v>
      </c>
      <c r="D198" s="3" t="s">
        <v>415</v>
      </c>
      <c r="E198" s="3" t="s">
        <v>416</v>
      </c>
      <c r="F198" s="9"/>
      <c r="G198" s="9" t="n">
        <v>1129200</v>
      </c>
      <c r="H198" s="9" t="n">
        <f aca="false">H197+G198-F198</f>
        <v>61997279.42</v>
      </c>
    </row>
    <row r="199" customFormat="false" ht="15" hidden="false" customHeight="false" outlineLevel="0" collapsed="false">
      <c r="A199" s="3" t="n">
        <v>191</v>
      </c>
      <c r="B199" s="8" t="n">
        <v>45782</v>
      </c>
      <c r="C199" s="8" t="n">
        <v>45782</v>
      </c>
      <c r="D199" s="3" t="s">
        <v>417</v>
      </c>
      <c r="E199" s="3" t="s">
        <v>418</v>
      </c>
      <c r="F199" s="9" t="n">
        <v>85000</v>
      </c>
      <c r="G199" s="9"/>
      <c r="H199" s="9" t="n">
        <f aca="false">H198+G199-F199</f>
        <v>61912279.42</v>
      </c>
    </row>
    <row r="200" customFormat="false" ht="15" hidden="false" customHeight="false" outlineLevel="0" collapsed="false">
      <c r="A200" s="3" t="n">
        <v>192</v>
      </c>
      <c r="B200" s="8" t="n">
        <v>45782</v>
      </c>
      <c r="C200" s="8" t="n">
        <v>45783</v>
      </c>
      <c r="D200" s="3" t="s">
        <v>419</v>
      </c>
      <c r="E200" s="3" t="s">
        <v>420</v>
      </c>
      <c r="F200" s="9" t="n">
        <v>242861.85</v>
      </c>
      <c r="G200" s="9"/>
      <c r="H200" s="9" t="n">
        <f aca="false">H199+G200-F200</f>
        <v>61669417.57</v>
      </c>
    </row>
    <row r="201" customFormat="false" ht="15" hidden="false" customHeight="false" outlineLevel="0" collapsed="false">
      <c r="A201" s="3" t="n">
        <v>193</v>
      </c>
      <c r="B201" s="8" t="n">
        <v>45782</v>
      </c>
      <c r="C201" s="8" t="n">
        <v>45783</v>
      </c>
      <c r="D201" s="3" t="s">
        <v>421</v>
      </c>
      <c r="E201" s="3" t="s">
        <v>422</v>
      </c>
      <c r="F201" s="9" t="n">
        <v>195534.76</v>
      </c>
      <c r="G201" s="9"/>
      <c r="H201" s="9" t="n">
        <f aca="false">H200+G201-F201</f>
        <v>61473882.81</v>
      </c>
    </row>
    <row r="202" customFormat="false" ht="15" hidden="false" customHeight="false" outlineLevel="0" collapsed="false">
      <c r="A202" s="3" t="n">
        <v>194</v>
      </c>
      <c r="B202" s="8" t="n">
        <v>45783</v>
      </c>
      <c r="C202" s="8" t="n">
        <v>45783</v>
      </c>
      <c r="D202" s="3" t="s">
        <v>423</v>
      </c>
      <c r="E202" s="3" t="s">
        <v>424</v>
      </c>
      <c r="F202" s="9"/>
      <c r="G202" s="9" t="n">
        <v>1090888.76</v>
      </c>
      <c r="H202" s="9" t="n">
        <f aca="false">H201+G202-F202</f>
        <v>62564771.57</v>
      </c>
    </row>
    <row r="203" customFormat="false" ht="15" hidden="false" customHeight="false" outlineLevel="0" collapsed="false">
      <c r="A203" s="3" t="n">
        <v>195</v>
      </c>
      <c r="B203" s="8" t="n">
        <v>45784</v>
      </c>
      <c r="C203" s="8" t="n">
        <v>45785</v>
      </c>
      <c r="D203" s="3" t="s">
        <v>425</v>
      </c>
      <c r="E203" s="3" t="s">
        <v>426</v>
      </c>
      <c r="F203" s="9" t="n">
        <v>2691300</v>
      </c>
      <c r="G203" s="9"/>
      <c r="H203" s="9" t="n">
        <f aca="false">H202+G203-F203</f>
        <v>59873471.57</v>
      </c>
    </row>
    <row r="204" customFormat="false" ht="15" hidden="false" customHeight="false" outlineLevel="0" collapsed="false">
      <c r="A204" s="3" t="n">
        <v>196</v>
      </c>
      <c r="B204" s="8" t="n">
        <v>45786</v>
      </c>
      <c r="C204" s="8" t="n">
        <v>45786</v>
      </c>
      <c r="D204" s="3" t="s">
        <v>427</v>
      </c>
      <c r="E204" s="3" t="s">
        <v>428</v>
      </c>
      <c r="F204" s="9"/>
      <c r="G204" s="9" t="n">
        <v>550315.14</v>
      </c>
      <c r="H204" s="9" t="n">
        <f aca="false">H203+G204-F204</f>
        <v>60423786.71</v>
      </c>
    </row>
    <row r="205" customFormat="false" ht="15" hidden="false" customHeight="false" outlineLevel="0" collapsed="false">
      <c r="A205" s="3" t="n">
        <v>197</v>
      </c>
      <c r="B205" s="8" t="n">
        <v>45789</v>
      </c>
      <c r="C205" s="8" t="n">
        <v>45789</v>
      </c>
      <c r="D205" s="3" t="s">
        <v>429</v>
      </c>
      <c r="E205" s="3" t="s">
        <v>430</v>
      </c>
      <c r="F205" s="9" t="n">
        <v>3394200</v>
      </c>
      <c r="G205" s="9"/>
      <c r="H205" s="9" t="n">
        <f aca="false">H204+G205-F205</f>
        <v>57029586.71</v>
      </c>
    </row>
    <row r="206" customFormat="false" ht="15" hidden="false" customHeight="false" outlineLevel="0" collapsed="false">
      <c r="A206" s="3" t="n">
        <v>198</v>
      </c>
      <c r="B206" s="8" t="n">
        <v>45789</v>
      </c>
      <c r="C206" s="8" t="n">
        <v>45789</v>
      </c>
      <c r="D206" s="3" t="s">
        <v>431</v>
      </c>
      <c r="E206" s="3" t="s">
        <v>432</v>
      </c>
      <c r="F206" s="9" t="n">
        <v>450800</v>
      </c>
      <c r="G206" s="9"/>
      <c r="H206" s="9" t="n">
        <f aca="false">H205+G206-F206</f>
        <v>56578786.71</v>
      </c>
    </row>
    <row r="207" customFormat="false" ht="15" hidden="false" customHeight="false" outlineLevel="0" collapsed="false">
      <c r="A207" s="3" t="n">
        <v>199</v>
      </c>
      <c r="B207" s="8" t="n">
        <v>45789</v>
      </c>
      <c r="C207" s="8" t="n">
        <v>45789</v>
      </c>
      <c r="D207" s="3" t="s">
        <v>433</v>
      </c>
      <c r="E207" s="3" t="s">
        <v>434</v>
      </c>
      <c r="F207" s="9" t="n">
        <v>160831.64</v>
      </c>
      <c r="G207" s="9"/>
      <c r="H207" s="9" t="n">
        <f aca="false">H206+G207-F207</f>
        <v>56417955.07</v>
      </c>
    </row>
    <row r="208" customFormat="false" ht="15" hidden="false" customHeight="false" outlineLevel="0" collapsed="false">
      <c r="A208" s="3" t="n">
        <v>200</v>
      </c>
      <c r="B208" s="8" t="n">
        <v>45789</v>
      </c>
      <c r="C208" s="8" t="n">
        <v>45790</v>
      </c>
      <c r="D208" s="3" t="s">
        <v>435</v>
      </c>
      <c r="E208" s="3" t="s">
        <v>436</v>
      </c>
      <c r="F208" s="9" t="n">
        <v>578000</v>
      </c>
      <c r="G208" s="9"/>
      <c r="H208" s="9" t="n">
        <f aca="false">H207+G208-F208</f>
        <v>55839955.07</v>
      </c>
    </row>
    <row r="209" customFormat="false" ht="15" hidden="false" customHeight="false" outlineLevel="0" collapsed="false">
      <c r="A209" s="3" t="n">
        <v>201</v>
      </c>
      <c r="B209" s="8" t="n">
        <v>45789</v>
      </c>
      <c r="C209" s="8" t="n">
        <v>45789</v>
      </c>
      <c r="D209" s="3" t="s">
        <v>437</v>
      </c>
      <c r="E209" s="3" t="s">
        <v>438</v>
      </c>
      <c r="F209" s="9" t="n">
        <v>1057421.95</v>
      </c>
      <c r="G209" s="9"/>
      <c r="H209" s="9" t="n">
        <f aca="false">H208+G209-F209</f>
        <v>54782533.12</v>
      </c>
    </row>
    <row r="210" customFormat="false" ht="15" hidden="false" customHeight="false" outlineLevel="0" collapsed="false">
      <c r="A210" s="3" t="n">
        <v>202</v>
      </c>
      <c r="B210" s="8" t="n">
        <v>45790</v>
      </c>
      <c r="C210" s="8" t="n">
        <v>45790</v>
      </c>
      <c r="D210" s="3" t="s">
        <v>439</v>
      </c>
      <c r="E210" s="3" t="s">
        <v>440</v>
      </c>
      <c r="F210" s="9"/>
      <c r="G210" s="9" t="n">
        <v>1989748.34</v>
      </c>
      <c r="H210" s="9" t="n">
        <f aca="false">H209+G210-F210</f>
        <v>56772281.46</v>
      </c>
    </row>
    <row r="211" customFormat="false" ht="15" hidden="false" customHeight="false" outlineLevel="0" collapsed="false">
      <c r="A211" s="3" t="n">
        <v>203</v>
      </c>
      <c r="B211" s="8" t="n">
        <v>45791</v>
      </c>
      <c r="C211" s="8" t="n">
        <v>45791</v>
      </c>
      <c r="D211" s="3" t="s">
        <v>441</v>
      </c>
      <c r="E211" s="3" t="s">
        <v>442</v>
      </c>
      <c r="F211" s="9"/>
      <c r="G211" s="9" t="n">
        <v>2400000</v>
      </c>
      <c r="H211" s="9" t="n">
        <f aca="false">H210+G211-F211</f>
        <v>59172281.46</v>
      </c>
    </row>
    <row r="212" customFormat="false" ht="15" hidden="false" customHeight="false" outlineLevel="0" collapsed="false">
      <c r="A212" s="3" t="n">
        <v>204</v>
      </c>
      <c r="B212" s="8" t="n">
        <v>45791</v>
      </c>
      <c r="C212" s="8" t="n">
        <v>45792</v>
      </c>
      <c r="D212" s="3" t="s">
        <v>443</v>
      </c>
      <c r="E212" s="3" t="s">
        <v>444</v>
      </c>
      <c r="F212" s="9"/>
      <c r="G212" s="9" t="n">
        <v>2400000</v>
      </c>
      <c r="H212" s="9" t="n">
        <f aca="false">H211+G212-F212</f>
        <v>61572281.46</v>
      </c>
    </row>
    <row r="213" customFormat="false" ht="15" hidden="false" customHeight="false" outlineLevel="0" collapsed="false">
      <c r="A213" s="3" t="n">
        <v>205</v>
      </c>
      <c r="B213" s="8" t="n">
        <v>45792</v>
      </c>
      <c r="C213" s="8" t="n">
        <v>45792</v>
      </c>
      <c r="D213" s="3" t="s">
        <v>445</v>
      </c>
      <c r="E213" s="3" t="s">
        <v>446</v>
      </c>
      <c r="F213" s="9" t="n">
        <v>828000</v>
      </c>
      <c r="G213" s="9"/>
      <c r="H213" s="9" t="n">
        <f aca="false">H212+G213-F213</f>
        <v>60744281.46</v>
      </c>
    </row>
    <row r="214" customFormat="false" ht="15" hidden="false" customHeight="false" outlineLevel="0" collapsed="false">
      <c r="A214" s="3" t="n">
        <v>206</v>
      </c>
      <c r="B214" s="8" t="n">
        <v>45792</v>
      </c>
      <c r="C214" s="8" t="n">
        <v>45793</v>
      </c>
      <c r="D214" s="3" t="s">
        <v>447</v>
      </c>
      <c r="E214" s="3" t="s">
        <v>448</v>
      </c>
      <c r="F214" s="9" t="n">
        <v>284088.56</v>
      </c>
      <c r="G214" s="9"/>
      <c r="H214" s="9" t="n">
        <f aca="false">H213+G214-F214</f>
        <v>60460192.9</v>
      </c>
    </row>
    <row r="215" customFormat="false" ht="15" hidden="false" customHeight="false" outlineLevel="0" collapsed="false">
      <c r="A215" s="3" t="n">
        <v>207</v>
      </c>
      <c r="B215" s="8" t="n">
        <v>45793</v>
      </c>
      <c r="C215" s="8" t="n">
        <v>45793</v>
      </c>
      <c r="D215" s="3" t="s">
        <v>449</v>
      </c>
      <c r="E215" s="3" t="s">
        <v>450</v>
      </c>
      <c r="F215" s="9"/>
      <c r="G215" s="9" t="n">
        <v>3760200</v>
      </c>
      <c r="H215" s="9" t="n">
        <f aca="false">H214+G215-F215</f>
        <v>64220392.9</v>
      </c>
    </row>
    <row r="216" customFormat="false" ht="15" hidden="false" customHeight="false" outlineLevel="0" collapsed="false">
      <c r="A216" s="3" t="n">
        <v>208</v>
      </c>
      <c r="B216" s="8" t="n">
        <v>45793</v>
      </c>
      <c r="C216" s="8" t="n">
        <v>45793</v>
      </c>
      <c r="D216" s="3" t="s">
        <v>451</v>
      </c>
      <c r="E216" s="3" t="s">
        <v>452</v>
      </c>
      <c r="F216" s="9"/>
      <c r="G216" s="9" t="n">
        <v>1737400</v>
      </c>
      <c r="H216" s="9" t="n">
        <f aca="false">H215+G216-F216</f>
        <v>65957792.9</v>
      </c>
    </row>
    <row r="217" customFormat="false" ht="15" hidden="false" customHeight="false" outlineLevel="0" collapsed="false">
      <c r="A217" s="3" t="n">
        <v>209</v>
      </c>
      <c r="B217" s="8" t="n">
        <v>45793</v>
      </c>
      <c r="C217" s="8" t="n">
        <v>45793</v>
      </c>
      <c r="D217" s="3" t="s">
        <v>453</v>
      </c>
      <c r="E217" s="3" t="s">
        <v>454</v>
      </c>
      <c r="F217" s="9" t="n">
        <v>1623800</v>
      </c>
      <c r="G217" s="9"/>
      <c r="H217" s="9" t="n">
        <f aca="false">H216+G217-F217</f>
        <v>64333992.9</v>
      </c>
    </row>
    <row r="218" customFormat="false" ht="15" hidden="false" customHeight="false" outlineLevel="0" collapsed="false">
      <c r="A218" s="3" t="n">
        <v>210</v>
      </c>
      <c r="B218" s="8" t="n">
        <v>45793</v>
      </c>
      <c r="C218" s="8" t="n">
        <v>45793</v>
      </c>
      <c r="D218" s="3" t="s">
        <v>455</v>
      </c>
      <c r="E218" s="3" t="s">
        <v>456</v>
      </c>
      <c r="F218" s="9" t="n">
        <v>345400</v>
      </c>
      <c r="G218" s="9"/>
      <c r="H218" s="9" t="n">
        <f aca="false">H217+G218-F218</f>
        <v>63988592.9</v>
      </c>
    </row>
    <row r="219" customFormat="false" ht="15" hidden="false" customHeight="false" outlineLevel="0" collapsed="false">
      <c r="A219" s="3" t="n">
        <v>211</v>
      </c>
      <c r="B219" s="8" t="n">
        <v>45796</v>
      </c>
      <c r="C219" s="8" t="n">
        <v>45796</v>
      </c>
      <c r="D219" s="3" t="s">
        <v>457</v>
      </c>
      <c r="E219" s="3" t="s">
        <v>458</v>
      </c>
      <c r="F219" s="9" t="n">
        <v>129091.53</v>
      </c>
      <c r="G219" s="9"/>
      <c r="H219" s="9" t="n">
        <f aca="false">H218+G219-F219</f>
        <v>63859501.37</v>
      </c>
    </row>
    <row r="220" customFormat="false" ht="15" hidden="false" customHeight="false" outlineLevel="0" collapsed="false">
      <c r="A220" s="3" t="n">
        <v>212</v>
      </c>
      <c r="B220" s="8" t="n">
        <v>45796</v>
      </c>
      <c r="C220" s="8" t="n">
        <v>45796</v>
      </c>
      <c r="D220" s="3" t="s">
        <v>459</v>
      </c>
      <c r="E220" s="3" t="s">
        <v>460</v>
      </c>
      <c r="F220" s="9" t="n">
        <v>169680.77</v>
      </c>
      <c r="G220" s="9"/>
      <c r="H220" s="9" t="n">
        <f aca="false">H219+G220-F220</f>
        <v>63689820.6</v>
      </c>
    </row>
    <row r="221" customFormat="false" ht="15" hidden="false" customHeight="false" outlineLevel="0" collapsed="false">
      <c r="A221" s="3" t="n">
        <v>213</v>
      </c>
      <c r="B221" s="8" t="n">
        <v>45796</v>
      </c>
      <c r="C221" s="8" t="n">
        <v>45796</v>
      </c>
      <c r="D221" s="3" t="s">
        <v>461</v>
      </c>
      <c r="E221" s="3" t="s">
        <v>282</v>
      </c>
      <c r="F221" s="9" t="n">
        <v>365000</v>
      </c>
      <c r="G221" s="9"/>
      <c r="H221" s="9" t="n">
        <f aca="false">H220+G221-F221</f>
        <v>63324820.6</v>
      </c>
    </row>
    <row r="222" customFormat="false" ht="15" hidden="false" customHeight="false" outlineLevel="0" collapsed="false">
      <c r="A222" s="3" t="n">
        <v>214</v>
      </c>
      <c r="B222" s="8" t="n">
        <v>45797</v>
      </c>
      <c r="C222" s="8" t="n">
        <v>45797</v>
      </c>
      <c r="D222" s="3" t="s">
        <v>462</v>
      </c>
      <c r="E222" s="3" t="s">
        <v>463</v>
      </c>
      <c r="F222" s="9"/>
      <c r="G222" s="9" t="n">
        <v>738581.76</v>
      </c>
      <c r="H222" s="9" t="n">
        <f aca="false">H221+G222-F222</f>
        <v>64063402.36</v>
      </c>
    </row>
    <row r="223" customFormat="false" ht="15" hidden="false" customHeight="false" outlineLevel="0" collapsed="false">
      <c r="A223" s="3" t="n">
        <v>215</v>
      </c>
      <c r="B223" s="8" t="n">
        <v>45797</v>
      </c>
      <c r="C223" s="8" t="n">
        <v>45798</v>
      </c>
      <c r="D223" s="3" t="s">
        <v>464</v>
      </c>
      <c r="E223" s="3" t="s">
        <v>192</v>
      </c>
      <c r="F223" s="9"/>
      <c r="G223" s="9" t="n">
        <v>958309.97</v>
      </c>
      <c r="H223" s="9" t="n">
        <f aca="false">H222+G223-F223</f>
        <v>65021712.33</v>
      </c>
    </row>
    <row r="224" customFormat="false" ht="15" hidden="false" customHeight="false" outlineLevel="0" collapsed="false">
      <c r="A224" s="3" t="n">
        <v>216</v>
      </c>
      <c r="B224" s="8" t="n">
        <v>45797</v>
      </c>
      <c r="C224" s="8" t="n">
        <v>45797</v>
      </c>
      <c r="D224" s="3" t="s">
        <v>465</v>
      </c>
      <c r="E224" s="3" t="s">
        <v>466</v>
      </c>
      <c r="F224" s="9"/>
      <c r="G224" s="9" t="n">
        <v>320000</v>
      </c>
      <c r="H224" s="9" t="n">
        <f aca="false">H223+G224-F224</f>
        <v>65341712.33</v>
      </c>
    </row>
    <row r="225" customFormat="false" ht="15" hidden="false" customHeight="false" outlineLevel="0" collapsed="false">
      <c r="A225" s="3" t="n">
        <v>217</v>
      </c>
      <c r="B225" s="8" t="n">
        <v>45798</v>
      </c>
      <c r="C225" s="8" t="n">
        <v>45798</v>
      </c>
      <c r="D225" s="3" t="s">
        <v>467</v>
      </c>
      <c r="E225" s="3" t="s">
        <v>468</v>
      </c>
      <c r="F225" s="9"/>
      <c r="G225" s="9" t="n">
        <v>1857600</v>
      </c>
      <c r="H225" s="9" t="n">
        <f aca="false">H224+G225-F225</f>
        <v>67199312.33</v>
      </c>
    </row>
    <row r="226" customFormat="false" ht="15" hidden="false" customHeight="false" outlineLevel="0" collapsed="false">
      <c r="A226" s="3" t="n">
        <v>218</v>
      </c>
      <c r="B226" s="8" t="n">
        <v>45798</v>
      </c>
      <c r="C226" s="8" t="n">
        <v>45799</v>
      </c>
      <c r="D226" s="3" t="s">
        <v>469</v>
      </c>
      <c r="E226" s="3" t="s">
        <v>470</v>
      </c>
      <c r="F226" s="9" t="n">
        <v>1154746.34</v>
      </c>
      <c r="G226" s="9"/>
      <c r="H226" s="9" t="n">
        <f aca="false">H225+G226-F226</f>
        <v>66044565.99</v>
      </c>
    </row>
    <row r="227" customFormat="false" ht="15" hidden="false" customHeight="false" outlineLevel="0" collapsed="false">
      <c r="A227" s="3" t="n">
        <v>219</v>
      </c>
      <c r="B227" s="8" t="n">
        <v>45799</v>
      </c>
      <c r="C227" s="8" t="n">
        <v>45799</v>
      </c>
      <c r="D227" s="3" t="s">
        <v>471</v>
      </c>
      <c r="E227" s="3" t="s">
        <v>472</v>
      </c>
      <c r="F227" s="9" t="n">
        <v>112687.76</v>
      </c>
      <c r="G227" s="9"/>
      <c r="H227" s="9" t="n">
        <f aca="false">H226+G227-F227</f>
        <v>65931878.23</v>
      </c>
    </row>
    <row r="228" customFormat="false" ht="15" hidden="false" customHeight="false" outlineLevel="0" collapsed="false">
      <c r="A228" s="3" t="n">
        <v>220</v>
      </c>
      <c r="B228" s="8" t="n">
        <v>45800</v>
      </c>
      <c r="C228" s="8" t="n">
        <v>45800</v>
      </c>
      <c r="D228" s="3" t="s">
        <v>473</v>
      </c>
      <c r="E228" s="3" t="s">
        <v>474</v>
      </c>
      <c r="F228" s="9"/>
      <c r="G228" s="9" t="n">
        <v>852557.8</v>
      </c>
      <c r="H228" s="9" t="n">
        <f aca="false">H227+G228-F228</f>
        <v>66784436.03</v>
      </c>
    </row>
    <row r="229" customFormat="false" ht="15" hidden="false" customHeight="false" outlineLevel="0" collapsed="false">
      <c r="A229" s="3" t="n">
        <v>221</v>
      </c>
      <c r="B229" s="8" t="n">
        <v>45800</v>
      </c>
      <c r="C229" s="8" t="n">
        <v>45800</v>
      </c>
      <c r="D229" s="3" t="s">
        <v>475</v>
      </c>
      <c r="E229" s="3" t="s">
        <v>476</v>
      </c>
      <c r="F229" s="9" t="n">
        <v>304822.43</v>
      </c>
      <c r="G229" s="9"/>
      <c r="H229" s="9" t="n">
        <f aca="false">H228+G229-F229</f>
        <v>66479613.6</v>
      </c>
    </row>
    <row r="230" customFormat="false" ht="15" hidden="false" customHeight="false" outlineLevel="0" collapsed="false">
      <c r="A230" s="3" t="n">
        <v>222</v>
      </c>
      <c r="B230" s="8" t="n">
        <v>45803</v>
      </c>
      <c r="C230" s="8" t="n">
        <v>45803</v>
      </c>
      <c r="D230" s="3" t="s">
        <v>477</v>
      </c>
      <c r="E230" s="3" t="s">
        <v>478</v>
      </c>
      <c r="F230" s="9"/>
      <c r="G230" s="9" t="n">
        <v>3626400</v>
      </c>
      <c r="H230" s="9" t="n">
        <f aca="false">H229+G230-F230</f>
        <v>70106013.6</v>
      </c>
    </row>
    <row r="231" customFormat="false" ht="15" hidden="false" customHeight="false" outlineLevel="0" collapsed="false">
      <c r="A231" s="3" t="n">
        <v>223</v>
      </c>
      <c r="B231" s="8" t="n">
        <v>45803</v>
      </c>
      <c r="C231" s="8" t="n">
        <v>45803</v>
      </c>
      <c r="D231" s="3" t="s">
        <v>479</v>
      </c>
      <c r="E231" s="3" t="s">
        <v>480</v>
      </c>
      <c r="F231" s="9" t="n">
        <v>2247200</v>
      </c>
      <c r="G231" s="9"/>
      <c r="H231" s="9" t="n">
        <f aca="false">H230+G231-F231</f>
        <v>67858813.6</v>
      </c>
    </row>
    <row r="232" customFormat="false" ht="15" hidden="false" customHeight="false" outlineLevel="0" collapsed="false">
      <c r="A232" s="3" t="n">
        <v>224</v>
      </c>
      <c r="B232" s="8" t="n">
        <v>45803</v>
      </c>
      <c r="C232" s="8" t="n">
        <v>45803</v>
      </c>
      <c r="D232" s="3" t="s">
        <v>481</v>
      </c>
      <c r="E232" s="3" t="s">
        <v>482</v>
      </c>
      <c r="F232" s="9" t="n">
        <v>235700</v>
      </c>
      <c r="G232" s="9"/>
      <c r="H232" s="9" t="n">
        <f aca="false">H231+G232-F232</f>
        <v>67623113.6</v>
      </c>
    </row>
    <row r="233" customFormat="false" ht="15" hidden="false" customHeight="false" outlineLevel="0" collapsed="false">
      <c r="A233" s="3" t="n">
        <v>225</v>
      </c>
      <c r="B233" s="8" t="n">
        <v>45804</v>
      </c>
      <c r="C233" s="8" t="n">
        <v>45804</v>
      </c>
      <c r="D233" s="3" t="s">
        <v>483</v>
      </c>
      <c r="E233" s="3" t="s">
        <v>156</v>
      </c>
      <c r="F233" s="9"/>
      <c r="G233" s="9" t="n">
        <v>2507800</v>
      </c>
      <c r="H233" s="9" t="n">
        <f aca="false">H232+G233-F233</f>
        <v>70130913.6</v>
      </c>
    </row>
    <row r="234" customFormat="false" ht="15" hidden="false" customHeight="false" outlineLevel="0" collapsed="false">
      <c r="A234" s="3" t="n">
        <v>226</v>
      </c>
      <c r="B234" s="8" t="n">
        <v>45804</v>
      </c>
      <c r="C234" s="8" t="n">
        <v>45804</v>
      </c>
      <c r="D234" s="3" t="s">
        <v>484</v>
      </c>
      <c r="E234" s="3" t="s">
        <v>485</v>
      </c>
      <c r="F234" s="9"/>
      <c r="G234" s="9" t="n">
        <v>1289457.86</v>
      </c>
      <c r="H234" s="9" t="n">
        <f aca="false">H233+G234-F234</f>
        <v>71420371.46</v>
      </c>
    </row>
    <row r="235" customFormat="false" ht="15" hidden="false" customHeight="false" outlineLevel="0" collapsed="false">
      <c r="A235" s="3" t="n">
        <v>227</v>
      </c>
      <c r="B235" s="8" t="n">
        <v>45804</v>
      </c>
      <c r="C235" s="8" t="n">
        <v>45804</v>
      </c>
      <c r="D235" s="3" t="s">
        <v>486</v>
      </c>
      <c r="E235" s="3" t="s">
        <v>487</v>
      </c>
      <c r="F235" s="9" t="n">
        <v>3781200</v>
      </c>
      <c r="G235" s="9"/>
      <c r="H235" s="9" t="n">
        <f aca="false">H234+G235-F235</f>
        <v>67639171.46</v>
      </c>
    </row>
    <row r="236" customFormat="false" ht="15" hidden="false" customHeight="false" outlineLevel="0" collapsed="false">
      <c r="A236" s="3" t="n">
        <v>228</v>
      </c>
      <c r="B236" s="8" t="n">
        <v>45805</v>
      </c>
      <c r="C236" s="8" t="n">
        <v>45805</v>
      </c>
      <c r="D236" s="3" t="s">
        <v>488</v>
      </c>
      <c r="E236" s="3" t="s">
        <v>192</v>
      </c>
      <c r="F236" s="9"/>
      <c r="G236" s="9" t="n">
        <v>1207053.23</v>
      </c>
      <c r="H236" s="9" t="n">
        <f aca="false">H235+G236-F236</f>
        <v>68846224.69</v>
      </c>
    </row>
    <row r="237" customFormat="false" ht="15" hidden="false" customHeight="false" outlineLevel="0" collapsed="false">
      <c r="A237" s="3" t="n">
        <v>229</v>
      </c>
      <c r="B237" s="8" t="n">
        <v>45807</v>
      </c>
      <c r="C237" s="8" t="n">
        <v>45808</v>
      </c>
      <c r="D237" s="3" t="s">
        <v>489</v>
      </c>
      <c r="E237" s="3" t="s">
        <v>490</v>
      </c>
      <c r="F237" s="9" t="n">
        <v>4500</v>
      </c>
      <c r="G237" s="9"/>
      <c r="H237" s="9" t="n">
        <f aca="false">H236+G237-F237</f>
        <v>68841724.69</v>
      </c>
    </row>
    <row r="238" customFormat="false" ht="15" hidden="false" customHeight="false" outlineLevel="0" collapsed="false">
      <c r="A238" s="3" t="n">
        <v>230</v>
      </c>
      <c r="B238" s="8" t="n">
        <v>45807</v>
      </c>
      <c r="C238" s="8" t="n">
        <v>45808</v>
      </c>
      <c r="D238" s="3" t="s">
        <v>491</v>
      </c>
      <c r="E238" s="3" t="s">
        <v>136</v>
      </c>
      <c r="F238" s="9" t="n">
        <v>4053.2</v>
      </c>
      <c r="G238" s="9"/>
      <c r="H238" s="9" t="n">
        <f aca="false">H237+G238-F238</f>
        <v>68837671.49</v>
      </c>
    </row>
    <row r="239" customFormat="false" ht="15" hidden="false" customHeight="false" outlineLevel="0" collapsed="false">
      <c r="A239" s="3" t="n">
        <v>231</v>
      </c>
      <c r="B239" s="8" t="n">
        <v>45807</v>
      </c>
      <c r="C239" s="8" t="n">
        <v>45807</v>
      </c>
      <c r="D239" s="3" t="s">
        <v>492</v>
      </c>
      <c r="E239" s="3" t="s">
        <v>224</v>
      </c>
      <c r="F239" s="9" t="n">
        <v>300</v>
      </c>
      <c r="G239" s="9"/>
      <c r="H239" s="9" t="n">
        <f aca="false">H238+G239-F239</f>
        <v>68837371.49</v>
      </c>
    </row>
    <row r="240" customFormat="false" ht="15" hidden="false" customHeight="false" outlineLevel="0" collapsed="false">
      <c r="A240" s="3" t="n">
        <v>232</v>
      </c>
      <c r="B240" s="8" t="n">
        <v>45807</v>
      </c>
      <c r="C240" s="8" t="n">
        <v>45807</v>
      </c>
      <c r="D240" s="3" t="s">
        <v>493</v>
      </c>
      <c r="E240" s="3" t="s">
        <v>140</v>
      </c>
      <c r="F240" s="9" t="n">
        <v>663.99</v>
      </c>
      <c r="G240" s="9"/>
      <c r="H240" s="9" t="n">
        <f aca="false">H239+G240-F240</f>
        <v>68836707.5</v>
      </c>
    </row>
    <row r="241" customFormat="false" ht="15" hidden="false" customHeight="false" outlineLevel="0" collapsed="false">
      <c r="A241" s="3" t="n">
        <v>233</v>
      </c>
      <c r="B241" s="8" t="n">
        <v>45807</v>
      </c>
      <c r="C241" s="8" t="n">
        <v>45807</v>
      </c>
      <c r="D241" s="3" t="s">
        <v>494</v>
      </c>
      <c r="E241" s="3" t="s">
        <v>227</v>
      </c>
      <c r="F241" s="9" t="n">
        <v>900</v>
      </c>
      <c r="G241" s="9"/>
      <c r="H241" s="9" t="n">
        <f aca="false">H240+G241-F241</f>
        <v>68835807.5</v>
      </c>
    </row>
    <row r="242" customFormat="false" ht="15" hidden="false" customHeight="false" outlineLevel="0" collapsed="false">
      <c r="A242" s="3" t="n">
        <v>234</v>
      </c>
      <c r="B242" s="8" t="n">
        <v>45810</v>
      </c>
      <c r="C242" s="8" t="n">
        <v>45811</v>
      </c>
      <c r="D242" s="3" t="s">
        <v>495</v>
      </c>
      <c r="E242" s="3" t="s">
        <v>496</v>
      </c>
      <c r="F242" s="9" t="n">
        <v>2851100</v>
      </c>
      <c r="G242" s="9"/>
      <c r="H242" s="9" t="n">
        <f aca="false">H241+G242-F242</f>
        <v>65984707.5</v>
      </c>
    </row>
    <row r="243" customFormat="false" ht="15" hidden="false" customHeight="false" outlineLevel="0" collapsed="false">
      <c r="A243" s="3" t="n">
        <v>235</v>
      </c>
      <c r="B243" s="8" t="n">
        <v>45810</v>
      </c>
      <c r="C243" s="8" t="n">
        <v>45810</v>
      </c>
      <c r="D243" s="3" t="s">
        <v>497</v>
      </c>
      <c r="E243" s="3" t="s">
        <v>498</v>
      </c>
      <c r="F243" s="9" t="n">
        <v>360100</v>
      </c>
      <c r="G243" s="9"/>
      <c r="H243" s="9" t="n">
        <f aca="false">H242+G243-F243</f>
        <v>65624607.5</v>
      </c>
    </row>
    <row r="244" customFormat="false" ht="15" hidden="false" customHeight="false" outlineLevel="0" collapsed="false">
      <c r="A244" s="3" t="n">
        <v>236</v>
      </c>
      <c r="B244" s="8" t="n">
        <v>45811</v>
      </c>
      <c r="C244" s="8" t="n">
        <v>45811</v>
      </c>
      <c r="D244" s="3" t="s">
        <v>499</v>
      </c>
      <c r="E244" s="3" t="s">
        <v>500</v>
      </c>
      <c r="F244" s="9" t="n">
        <v>950800</v>
      </c>
      <c r="G244" s="9"/>
      <c r="H244" s="9" t="n">
        <f aca="false">H243+G244-F244</f>
        <v>64673807.5</v>
      </c>
    </row>
    <row r="245" customFormat="false" ht="15" hidden="false" customHeight="false" outlineLevel="0" collapsed="false">
      <c r="A245" s="3" t="n">
        <v>237</v>
      </c>
      <c r="B245" s="8" t="n">
        <v>45812</v>
      </c>
      <c r="C245" s="8" t="n">
        <v>45813</v>
      </c>
      <c r="D245" s="3" t="s">
        <v>501</v>
      </c>
      <c r="E245" s="3" t="s">
        <v>502</v>
      </c>
      <c r="F245" s="9"/>
      <c r="G245" s="9" t="n">
        <v>2607500</v>
      </c>
      <c r="H245" s="9" t="n">
        <f aca="false">H244+G245-F245</f>
        <v>67281307.5</v>
      </c>
    </row>
    <row r="246" customFormat="false" ht="15" hidden="false" customHeight="false" outlineLevel="0" collapsed="false">
      <c r="A246" s="3" t="n">
        <v>238</v>
      </c>
      <c r="B246" s="8" t="n">
        <v>45812</v>
      </c>
      <c r="C246" s="8" t="n">
        <v>45812</v>
      </c>
      <c r="D246" s="3" t="s">
        <v>503</v>
      </c>
      <c r="E246" s="3" t="s">
        <v>504</v>
      </c>
      <c r="F246" s="9" t="n">
        <v>294768.82</v>
      </c>
      <c r="G246" s="9"/>
      <c r="H246" s="9" t="n">
        <f aca="false">H245+G246-F246</f>
        <v>66986538.68</v>
      </c>
    </row>
    <row r="247" customFormat="false" ht="15" hidden="false" customHeight="false" outlineLevel="0" collapsed="false">
      <c r="A247" s="3" t="n">
        <v>239</v>
      </c>
      <c r="B247" s="8" t="n">
        <v>45813</v>
      </c>
      <c r="C247" s="8" t="n">
        <v>45813</v>
      </c>
      <c r="D247" s="3" t="s">
        <v>505</v>
      </c>
      <c r="E247" s="3" t="s">
        <v>506</v>
      </c>
      <c r="F247" s="9" t="n">
        <v>85000</v>
      </c>
      <c r="G247" s="9"/>
      <c r="H247" s="9" t="n">
        <f aca="false">H246+G247-F247</f>
        <v>66901538.68</v>
      </c>
    </row>
    <row r="248" customFormat="false" ht="15" hidden="false" customHeight="false" outlineLevel="0" collapsed="false">
      <c r="A248" s="3" t="n">
        <v>240</v>
      </c>
      <c r="B248" s="8" t="n">
        <v>45813</v>
      </c>
      <c r="C248" s="8" t="n">
        <v>45813</v>
      </c>
      <c r="D248" s="3" t="s">
        <v>507</v>
      </c>
      <c r="E248" s="3" t="s">
        <v>508</v>
      </c>
      <c r="F248" s="9" t="n">
        <v>8000000</v>
      </c>
      <c r="G248" s="9"/>
      <c r="H248" s="9" t="n">
        <f aca="false">H247+G248-F248</f>
        <v>58901538.68</v>
      </c>
    </row>
    <row r="249" customFormat="false" ht="15" hidden="false" customHeight="false" outlineLevel="0" collapsed="false">
      <c r="A249" s="3" t="n">
        <v>241</v>
      </c>
      <c r="B249" s="8" t="n">
        <v>45814</v>
      </c>
      <c r="C249" s="8" t="n">
        <v>45814</v>
      </c>
      <c r="D249" s="3" t="s">
        <v>509</v>
      </c>
      <c r="E249" s="3" t="s">
        <v>510</v>
      </c>
      <c r="F249" s="9"/>
      <c r="G249" s="9" t="n">
        <v>681425.3</v>
      </c>
      <c r="H249" s="9" t="n">
        <f aca="false">H248+G249-F249</f>
        <v>59582963.98</v>
      </c>
    </row>
    <row r="250" customFormat="false" ht="15" hidden="false" customHeight="false" outlineLevel="0" collapsed="false">
      <c r="A250" s="3" t="n">
        <v>242</v>
      </c>
      <c r="B250" s="8" t="n">
        <v>45814</v>
      </c>
      <c r="C250" s="8" t="n">
        <v>45814</v>
      </c>
      <c r="D250" s="3" t="s">
        <v>511</v>
      </c>
      <c r="E250" s="3" t="s">
        <v>512</v>
      </c>
      <c r="F250" s="9" t="n">
        <v>140309.54</v>
      </c>
      <c r="G250" s="9"/>
      <c r="H250" s="9" t="n">
        <f aca="false">H249+G250-F250</f>
        <v>59442654.44</v>
      </c>
    </row>
    <row r="251" customFormat="false" ht="15" hidden="false" customHeight="false" outlineLevel="0" collapsed="false">
      <c r="A251" s="3" t="n">
        <v>243</v>
      </c>
      <c r="B251" s="8" t="n">
        <v>45817</v>
      </c>
      <c r="C251" s="8" t="n">
        <v>45817</v>
      </c>
      <c r="D251" s="3" t="s">
        <v>513</v>
      </c>
      <c r="E251" s="3" t="s">
        <v>514</v>
      </c>
      <c r="F251" s="9"/>
      <c r="G251" s="9" t="n">
        <v>3461400</v>
      </c>
      <c r="H251" s="9" t="n">
        <f aca="false">H250+G251-F251</f>
        <v>62904054.44</v>
      </c>
    </row>
    <row r="252" customFormat="false" ht="15" hidden="false" customHeight="false" outlineLevel="0" collapsed="false">
      <c r="A252" s="3" t="n">
        <v>244</v>
      </c>
      <c r="B252" s="8" t="n">
        <v>45817</v>
      </c>
      <c r="C252" s="8" t="n">
        <v>45817</v>
      </c>
      <c r="D252" s="3" t="s">
        <v>515</v>
      </c>
      <c r="E252" s="3" t="s">
        <v>516</v>
      </c>
      <c r="F252" s="9"/>
      <c r="G252" s="9" t="n">
        <v>4717400</v>
      </c>
      <c r="H252" s="9" t="n">
        <f aca="false">H251+G252-F252</f>
        <v>67621454.44</v>
      </c>
    </row>
    <row r="253" customFormat="false" ht="15" hidden="false" customHeight="false" outlineLevel="0" collapsed="false">
      <c r="A253" s="3" t="n">
        <v>245</v>
      </c>
      <c r="B253" s="8" t="n">
        <v>45817</v>
      </c>
      <c r="C253" s="8" t="n">
        <v>45817</v>
      </c>
      <c r="D253" s="3" t="s">
        <v>517</v>
      </c>
      <c r="E253" s="3" t="s">
        <v>518</v>
      </c>
      <c r="F253" s="9"/>
      <c r="G253" s="9" t="n">
        <v>477087.68</v>
      </c>
      <c r="H253" s="9" t="n">
        <f aca="false">H252+G253-F253</f>
        <v>68098542.12</v>
      </c>
    </row>
    <row r="254" customFormat="false" ht="15" hidden="false" customHeight="false" outlineLevel="0" collapsed="false">
      <c r="A254" s="3" t="n">
        <v>246</v>
      </c>
      <c r="B254" s="8" t="n">
        <v>45817</v>
      </c>
      <c r="C254" s="8" t="n">
        <v>45817</v>
      </c>
      <c r="D254" s="3" t="s">
        <v>519</v>
      </c>
      <c r="E254" s="3" t="s">
        <v>309</v>
      </c>
      <c r="F254" s="9" t="n">
        <v>2254100</v>
      </c>
      <c r="G254" s="9"/>
      <c r="H254" s="9" t="n">
        <f aca="false">H253+G254-F254</f>
        <v>65844442.12</v>
      </c>
    </row>
    <row r="255" customFormat="false" ht="15" hidden="false" customHeight="false" outlineLevel="0" collapsed="false">
      <c r="A255" s="3" t="n">
        <v>247</v>
      </c>
      <c r="B255" s="8" t="n">
        <v>45817</v>
      </c>
      <c r="C255" s="8" t="n">
        <v>45817</v>
      </c>
      <c r="D255" s="3" t="s">
        <v>520</v>
      </c>
      <c r="E255" s="3" t="s">
        <v>521</v>
      </c>
      <c r="F255" s="9" t="n">
        <v>2001000</v>
      </c>
      <c r="G255" s="9"/>
      <c r="H255" s="9" t="n">
        <f aca="false">H254+G255-F255</f>
        <v>63843442.12</v>
      </c>
    </row>
    <row r="256" customFormat="false" ht="15" hidden="false" customHeight="false" outlineLevel="0" collapsed="false">
      <c r="A256" s="3" t="n">
        <v>248</v>
      </c>
      <c r="B256" s="8" t="n">
        <v>45817</v>
      </c>
      <c r="C256" s="8" t="n">
        <v>45818</v>
      </c>
      <c r="D256" s="3" t="s">
        <v>522</v>
      </c>
      <c r="E256" s="3" t="s">
        <v>523</v>
      </c>
      <c r="F256" s="9" t="n">
        <v>149561.14</v>
      </c>
      <c r="G256" s="9"/>
      <c r="H256" s="9" t="n">
        <f aca="false">H255+G256-F256</f>
        <v>63693880.98</v>
      </c>
    </row>
    <row r="257" customFormat="false" ht="15" hidden="false" customHeight="false" outlineLevel="0" collapsed="false">
      <c r="A257" s="3" t="n">
        <v>249</v>
      </c>
      <c r="B257" s="8" t="n">
        <v>45818</v>
      </c>
      <c r="C257" s="8" t="n">
        <v>45818</v>
      </c>
      <c r="D257" s="3" t="s">
        <v>524</v>
      </c>
      <c r="E257" s="3" t="s">
        <v>525</v>
      </c>
      <c r="F257" s="9"/>
      <c r="G257" s="9" t="n">
        <v>4504200</v>
      </c>
      <c r="H257" s="9" t="n">
        <f aca="false">H256+G257-F257</f>
        <v>68198080.98</v>
      </c>
    </row>
    <row r="258" customFormat="false" ht="15" hidden="false" customHeight="false" outlineLevel="0" collapsed="false">
      <c r="A258" s="3" t="n">
        <v>250</v>
      </c>
      <c r="B258" s="8" t="n">
        <v>45818</v>
      </c>
      <c r="C258" s="8" t="n">
        <v>45819</v>
      </c>
      <c r="D258" s="3" t="s">
        <v>526</v>
      </c>
      <c r="E258" s="3" t="s">
        <v>146</v>
      </c>
      <c r="F258" s="9"/>
      <c r="G258" s="9" t="n">
        <v>1759230.32</v>
      </c>
      <c r="H258" s="9" t="n">
        <f aca="false">H257+G258-F258</f>
        <v>69957311.3</v>
      </c>
    </row>
    <row r="259" customFormat="false" ht="15" hidden="false" customHeight="false" outlineLevel="0" collapsed="false">
      <c r="A259" s="3" t="n">
        <v>251</v>
      </c>
      <c r="B259" s="8" t="n">
        <v>45818</v>
      </c>
      <c r="C259" s="8" t="n">
        <v>45819</v>
      </c>
      <c r="D259" s="3" t="s">
        <v>527</v>
      </c>
      <c r="E259" s="3" t="s">
        <v>528</v>
      </c>
      <c r="F259" s="9" t="n">
        <v>450800</v>
      </c>
      <c r="G259" s="9"/>
      <c r="H259" s="9" t="n">
        <f aca="false">H258+G259-F259</f>
        <v>69506511.3</v>
      </c>
    </row>
    <row r="260" customFormat="false" ht="15" hidden="false" customHeight="false" outlineLevel="0" collapsed="false">
      <c r="A260" s="3" t="n">
        <v>252</v>
      </c>
      <c r="B260" s="8" t="n">
        <v>45818</v>
      </c>
      <c r="C260" s="8" t="n">
        <v>45818</v>
      </c>
      <c r="D260" s="3" t="s">
        <v>529</v>
      </c>
      <c r="E260" s="3" t="s">
        <v>530</v>
      </c>
      <c r="F260" s="9" t="n">
        <v>1057421.95</v>
      </c>
      <c r="G260" s="9"/>
      <c r="H260" s="9" t="n">
        <f aca="false">H259+G260-F260</f>
        <v>68449089.35</v>
      </c>
    </row>
    <row r="261" customFormat="false" ht="15" hidden="false" customHeight="false" outlineLevel="0" collapsed="false">
      <c r="A261" s="3" t="n">
        <v>253</v>
      </c>
      <c r="B261" s="8" t="n">
        <v>45820</v>
      </c>
      <c r="C261" s="8" t="n">
        <v>45820</v>
      </c>
      <c r="D261" s="3" t="s">
        <v>531</v>
      </c>
      <c r="E261" s="3" t="s">
        <v>146</v>
      </c>
      <c r="F261" s="9"/>
      <c r="G261" s="9" t="n">
        <v>454940.1</v>
      </c>
      <c r="H261" s="9" t="n">
        <f aca="false">H260+G261-F261</f>
        <v>68904029.45</v>
      </c>
    </row>
    <row r="262" customFormat="false" ht="15" hidden="false" customHeight="false" outlineLevel="0" collapsed="false">
      <c r="A262" s="3" t="n">
        <v>254</v>
      </c>
      <c r="B262" s="8" t="n">
        <v>45820</v>
      </c>
      <c r="C262" s="8" t="n">
        <v>45820</v>
      </c>
      <c r="D262" s="3" t="s">
        <v>532</v>
      </c>
      <c r="E262" s="3" t="s">
        <v>533</v>
      </c>
      <c r="F262" s="9" t="n">
        <v>312600</v>
      </c>
      <c r="G262" s="9"/>
      <c r="H262" s="9" t="n">
        <f aca="false">H261+G262-F262</f>
        <v>68591429.45</v>
      </c>
    </row>
    <row r="263" customFormat="false" ht="15" hidden="false" customHeight="false" outlineLevel="0" collapsed="false">
      <c r="A263" s="3" t="n">
        <v>255</v>
      </c>
      <c r="B263" s="8" t="n">
        <v>45820</v>
      </c>
      <c r="C263" s="8" t="n">
        <v>45820</v>
      </c>
      <c r="D263" s="3" t="s">
        <v>534</v>
      </c>
      <c r="E263" s="3" t="s">
        <v>535</v>
      </c>
      <c r="F263" s="9" t="n">
        <v>189651.72</v>
      </c>
      <c r="G263" s="9"/>
      <c r="H263" s="9" t="n">
        <f aca="false">H262+G263-F263</f>
        <v>68401777.73</v>
      </c>
    </row>
    <row r="264" customFormat="false" ht="15" hidden="false" customHeight="false" outlineLevel="0" collapsed="false">
      <c r="A264" s="3" t="n">
        <v>256</v>
      </c>
      <c r="B264" s="8" t="n">
        <v>45820</v>
      </c>
      <c r="C264" s="8" t="n">
        <v>45821</v>
      </c>
      <c r="D264" s="3" t="s">
        <v>536</v>
      </c>
      <c r="E264" s="3" t="s">
        <v>537</v>
      </c>
      <c r="F264" s="9" t="n">
        <v>168243.13</v>
      </c>
      <c r="G264" s="9"/>
      <c r="H264" s="9" t="n">
        <f aca="false">H263+G264-F264</f>
        <v>68233534.6</v>
      </c>
    </row>
    <row r="265" customFormat="false" ht="15" hidden="false" customHeight="false" outlineLevel="0" collapsed="false">
      <c r="A265" s="3" t="n">
        <v>257</v>
      </c>
      <c r="B265" s="8" t="n">
        <v>45820</v>
      </c>
      <c r="C265" s="8" t="n">
        <v>45820</v>
      </c>
      <c r="D265" s="3" t="s">
        <v>538</v>
      </c>
      <c r="E265" s="3" t="s">
        <v>539</v>
      </c>
      <c r="F265" s="9" t="n">
        <v>3200000</v>
      </c>
      <c r="G265" s="9"/>
      <c r="H265" s="9" t="n">
        <f aca="false">H264+G265-F265</f>
        <v>65033534.6</v>
      </c>
    </row>
    <row r="266" customFormat="false" ht="15" hidden="false" customHeight="false" outlineLevel="0" collapsed="false">
      <c r="A266" s="3" t="n">
        <v>258</v>
      </c>
      <c r="B266" s="8" t="n">
        <v>45821</v>
      </c>
      <c r="C266" s="8" t="n">
        <v>45821</v>
      </c>
      <c r="D266" s="3" t="s">
        <v>540</v>
      </c>
      <c r="E266" s="3" t="s">
        <v>541</v>
      </c>
      <c r="F266" s="9"/>
      <c r="G266" s="9" t="n">
        <v>1844650.27</v>
      </c>
      <c r="H266" s="9" t="n">
        <f aca="false">H265+G266-F266</f>
        <v>66878184.87</v>
      </c>
    </row>
    <row r="267" customFormat="false" ht="15" hidden="false" customHeight="false" outlineLevel="0" collapsed="false">
      <c r="A267" s="3" t="n">
        <v>259</v>
      </c>
      <c r="B267" s="8" t="n">
        <v>45824</v>
      </c>
      <c r="C267" s="8" t="n">
        <v>45824</v>
      </c>
      <c r="D267" s="3" t="s">
        <v>542</v>
      </c>
      <c r="E267" s="3" t="s">
        <v>543</v>
      </c>
      <c r="F267" s="9"/>
      <c r="G267" s="9" t="n">
        <v>1585200</v>
      </c>
      <c r="H267" s="9" t="n">
        <f aca="false">H266+G267-F267</f>
        <v>68463384.87</v>
      </c>
    </row>
    <row r="268" customFormat="false" ht="15" hidden="false" customHeight="false" outlineLevel="0" collapsed="false">
      <c r="A268" s="3" t="n">
        <v>260</v>
      </c>
      <c r="B268" s="8" t="n">
        <v>45824</v>
      </c>
      <c r="C268" s="8" t="n">
        <v>45825</v>
      </c>
      <c r="D268" s="3" t="s">
        <v>544</v>
      </c>
      <c r="E268" s="3" t="s">
        <v>545</v>
      </c>
      <c r="F268" s="9" t="n">
        <v>828000</v>
      </c>
      <c r="G268" s="9"/>
      <c r="H268" s="9" t="n">
        <f aca="false">H267+G268-F268</f>
        <v>67635384.87</v>
      </c>
    </row>
    <row r="269" customFormat="false" ht="15" hidden="false" customHeight="false" outlineLevel="0" collapsed="false">
      <c r="A269" s="3" t="n">
        <v>261</v>
      </c>
      <c r="B269" s="8" t="n">
        <v>45824</v>
      </c>
      <c r="C269" s="8" t="n">
        <v>45824</v>
      </c>
      <c r="D269" s="3" t="s">
        <v>546</v>
      </c>
      <c r="E269" s="3" t="s">
        <v>194</v>
      </c>
      <c r="F269" s="9" t="n">
        <v>218327.83</v>
      </c>
      <c r="G269" s="9"/>
      <c r="H269" s="9" t="n">
        <f aca="false">H268+G269-F269</f>
        <v>67417057.04</v>
      </c>
    </row>
    <row r="270" customFormat="false" ht="15" hidden="false" customHeight="false" outlineLevel="0" collapsed="false">
      <c r="A270" s="3" t="n">
        <v>262</v>
      </c>
      <c r="B270" s="8" t="n">
        <v>45824</v>
      </c>
      <c r="C270" s="8" t="n">
        <v>45824</v>
      </c>
      <c r="D270" s="3" t="s">
        <v>547</v>
      </c>
      <c r="E270" s="3" t="s">
        <v>548</v>
      </c>
      <c r="F270" s="9" t="n">
        <v>527000</v>
      </c>
      <c r="G270" s="9"/>
      <c r="H270" s="9" t="n">
        <f aca="false">H269+G270-F270</f>
        <v>66890057.04</v>
      </c>
    </row>
    <row r="271" customFormat="false" ht="15" hidden="false" customHeight="false" outlineLevel="0" collapsed="false">
      <c r="A271" s="3" t="n">
        <v>263</v>
      </c>
      <c r="B271" s="8" t="n">
        <v>45825</v>
      </c>
      <c r="C271" s="8" t="n">
        <v>45826</v>
      </c>
      <c r="D271" s="3" t="s">
        <v>549</v>
      </c>
      <c r="E271" s="3" t="s">
        <v>146</v>
      </c>
      <c r="F271" s="9"/>
      <c r="G271" s="9" t="n">
        <v>485892.5</v>
      </c>
      <c r="H271" s="9" t="n">
        <f aca="false">H270+G271-F271</f>
        <v>67375949.54</v>
      </c>
    </row>
    <row r="272" customFormat="false" ht="15" hidden="false" customHeight="false" outlineLevel="0" collapsed="false">
      <c r="A272" s="3" t="n">
        <v>264</v>
      </c>
      <c r="B272" s="8" t="n">
        <v>45826</v>
      </c>
      <c r="C272" s="8" t="n">
        <v>45826</v>
      </c>
      <c r="D272" s="3" t="s">
        <v>550</v>
      </c>
      <c r="E272" s="3" t="s">
        <v>551</v>
      </c>
      <c r="F272" s="9" t="n">
        <v>275000</v>
      </c>
      <c r="G272" s="9"/>
      <c r="H272" s="9" t="n">
        <f aca="false">H271+G272-F272</f>
        <v>67100949.54</v>
      </c>
    </row>
    <row r="273" customFormat="false" ht="15" hidden="false" customHeight="false" outlineLevel="0" collapsed="false">
      <c r="A273" s="3" t="n">
        <v>265</v>
      </c>
      <c r="B273" s="8" t="n">
        <v>45827</v>
      </c>
      <c r="C273" s="8" t="n">
        <v>45827</v>
      </c>
      <c r="D273" s="3" t="s">
        <v>552</v>
      </c>
      <c r="E273" s="3" t="s">
        <v>553</v>
      </c>
      <c r="F273" s="9" t="n">
        <v>193657.18</v>
      </c>
      <c r="G273" s="9"/>
      <c r="H273" s="9" t="n">
        <f aca="false">H272+G273-F273</f>
        <v>66907292.36</v>
      </c>
    </row>
    <row r="274" customFormat="false" ht="15" hidden="false" customHeight="false" outlineLevel="0" collapsed="false">
      <c r="A274" s="3" t="n">
        <v>266</v>
      </c>
      <c r="B274" s="8" t="n">
        <v>45828</v>
      </c>
      <c r="C274" s="8" t="n">
        <v>45828</v>
      </c>
      <c r="D274" s="3" t="s">
        <v>554</v>
      </c>
      <c r="E274" s="3" t="s">
        <v>555</v>
      </c>
      <c r="F274" s="9"/>
      <c r="G274" s="9" t="n">
        <v>872140.36</v>
      </c>
      <c r="H274" s="9" t="n">
        <f aca="false">H273+G274-F274</f>
        <v>67779432.72</v>
      </c>
    </row>
    <row r="275" customFormat="false" ht="15" hidden="false" customHeight="false" outlineLevel="0" collapsed="false">
      <c r="A275" s="3" t="n">
        <v>267</v>
      </c>
      <c r="B275" s="8" t="n">
        <v>45828</v>
      </c>
      <c r="C275" s="8" t="n">
        <v>45828</v>
      </c>
      <c r="D275" s="3" t="s">
        <v>556</v>
      </c>
      <c r="E275" s="3" t="s">
        <v>557</v>
      </c>
      <c r="F275" s="9" t="n">
        <v>5000000</v>
      </c>
      <c r="G275" s="9"/>
      <c r="H275" s="9" t="n">
        <f aca="false">H274+G275-F275</f>
        <v>62779432.72</v>
      </c>
    </row>
    <row r="276" customFormat="false" ht="15" hidden="false" customHeight="false" outlineLevel="0" collapsed="false">
      <c r="A276" s="3" t="n">
        <v>268</v>
      </c>
      <c r="B276" s="8" t="n">
        <v>45831</v>
      </c>
      <c r="C276" s="8" t="n">
        <v>45831</v>
      </c>
      <c r="D276" s="3" t="s">
        <v>558</v>
      </c>
      <c r="E276" s="3" t="s">
        <v>559</v>
      </c>
      <c r="F276" s="9"/>
      <c r="G276" s="9" t="n">
        <v>1661600</v>
      </c>
      <c r="H276" s="9" t="n">
        <f aca="false">H275+G276-F276</f>
        <v>64441032.72</v>
      </c>
    </row>
    <row r="277" customFormat="false" ht="15" hidden="false" customHeight="false" outlineLevel="0" collapsed="false">
      <c r="A277" s="3" t="n">
        <v>269</v>
      </c>
      <c r="B277" s="8" t="n">
        <v>45831</v>
      </c>
      <c r="C277" s="8" t="n">
        <v>45831</v>
      </c>
      <c r="D277" s="3" t="s">
        <v>560</v>
      </c>
      <c r="E277" s="3" t="s">
        <v>561</v>
      </c>
      <c r="F277" s="9"/>
      <c r="G277" s="9" t="n">
        <v>796959.24</v>
      </c>
      <c r="H277" s="9" t="n">
        <f aca="false">H276+G277-F277</f>
        <v>65237991.96</v>
      </c>
    </row>
    <row r="278" customFormat="false" ht="15" hidden="false" customHeight="false" outlineLevel="0" collapsed="false">
      <c r="A278" s="3" t="n">
        <v>270</v>
      </c>
      <c r="B278" s="8" t="n">
        <v>45831</v>
      </c>
      <c r="C278" s="8" t="n">
        <v>45831</v>
      </c>
      <c r="D278" s="3" t="s">
        <v>562</v>
      </c>
      <c r="E278" s="3" t="s">
        <v>563</v>
      </c>
      <c r="F278" s="9" t="n">
        <v>1157080.6</v>
      </c>
      <c r="G278" s="9"/>
      <c r="H278" s="9" t="n">
        <f aca="false">H277+G278-F278</f>
        <v>64080911.36</v>
      </c>
    </row>
    <row r="279" customFormat="false" ht="15" hidden="false" customHeight="false" outlineLevel="0" collapsed="false">
      <c r="A279" s="3" t="n">
        <v>271</v>
      </c>
      <c r="B279" s="8" t="n">
        <v>45831</v>
      </c>
      <c r="C279" s="8" t="n">
        <v>45831</v>
      </c>
      <c r="D279" s="3" t="s">
        <v>564</v>
      </c>
      <c r="E279" s="3" t="s">
        <v>565</v>
      </c>
      <c r="F279" s="9" t="n">
        <v>218564.32</v>
      </c>
      <c r="G279" s="9"/>
      <c r="H279" s="9" t="n">
        <f aca="false">H278+G279-F279</f>
        <v>63862347.04</v>
      </c>
    </row>
    <row r="280" customFormat="false" ht="15" hidden="false" customHeight="false" outlineLevel="0" collapsed="false">
      <c r="A280" s="3" t="n">
        <v>272</v>
      </c>
      <c r="B280" s="8" t="n">
        <v>45832</v>
      </c>
      <c r="C280" s="8" t="n">
        <v>45832</v>
      </c>
      <c r="D280" s="3" t="s">
        <v>566</v>
      </c>
      <c r="E280" s="3" t="s">
        <v>567</v>
      </c>
      <c r="F280" s="9" t="n">
        <v>50000</v>
      </c>
      <c r="G280" s="9"/>
      <c r="H280" s="9" t="n">
        <f aca="false">H279+G280-F280</f>
        <v>63812347.04</v>
      </c>
    </row>
    <row r="281" customFormat="false" ht="15" hidden="false" customHeight="false" outlineLevel="0" collapsed="false">
      <c r="A281" s="3" t="n">
        <v>273</v>
      </c>
      <c r="B281" s="8" t="n">
        <v>45833</v>
      </c>
      <c r="C281" s="8" t="n">
        <v>45833</v>
      </c>
      <c r="D281" s="3" t="s">
        <v>568</v>
      </c>
      <c r="E281" s="3" t="s">
        <v>569</v>
      </c>
      <c r="F281" s="9" t="n">
        <v>2268400</v>
      </c>
      <c r="G281" s="9"/>
      <c r="H281" s="9" t="n">
        <f aca="false">H280+G281-F281</f>
        <v>61543947.04</v>
      </c>
    </row>
    <row r="282" customFormat="false" ht="15" hidden="false" customHeight="false" outlineLevel="0" collapsed="false">
      <c r="A282" s="3" t="n">
        <v>274</v>
      </c>
      <c r="B282" s="8" t="n">
        <v>45834</v>
      </c>
      <c r="C282" s="8" t="n">
        <v>45834</v>
      </c>
      <c r="D282" s="3" t="s">
        <v>570</v>
      </c>
      <c r="E282" s="3" t="s">
        <v>571</v>
      </c>
      <c r="F282" s="9" t="n">
        <v>2793100</v>
      </c>
      <c r="G282" s="9"/>
      <c r="H282" s="9" t="n">
        <f aca="false">H281+G282-F282</f>
        <v>58750847.04</v>
      </c>
    </row>
    <row r="283" customFormat="false" ht="15" hidden="false" customHeight="false" outlineLevel="0" collapsed="false">
      <c r="A283" s="3" t="n">
        <v>275</v>
      </c>
      <c r="B283" s="8" t="n">
        <v>45834</v>
      </c>
      <c r="C283" s="8" t="n">
        <v>45834</v>
      </c>
      <c r="D283" s="3" t="s">
        <v>572</v>
      </c>
      <c r="E283" s="3" t="s">
        <v>198</v>
      </c>
      <c r="F283" s="9" t="n">
        <v>750000</v>
      </c>
      <c r="G283" s="9"/>
      <c r="H283" s="9" t="n">
        <f aca="false">H282+G283-F283</f>
        <v>58000847.04</v>
      </c>
    </row>
    <row r="284" customFormat="false" ht="15" hidden="false" customHeight="false" outlineLevel="0" collapsed="false">
      <c r="A284" s="3" t="n">
        <v>276</v>
      </c>
      <c r="B284" s="8" t="n">
        <v>45835</v>
      </c>
      <c r="C284" s="8" t="n">
        <v>45835</v>
      </c>
      <c r="D284" s="3" t="s">
        <v>573</v>
      </c>
      <c r="E284" s="3" t="s">
        <v>574</v>
      </c>
      <c r="F284" s="9"/>
      <c r="G284" s="9" t="n">
        <v>1366193.46</v>
      </c>
      <c r="H284" s="9" t="n">
        <f aca="false">H283+G284-F284</f>
        <v>59367040.5</v>
      </c>
    </row>
    <row r="285" customFormat="false" ht="15" hidden="false" customHeight="false" outlineLevel="0" collapsed="false">
      <c r="A285" s="3" t="n">
        <v>277</v>
      </c>
      <c r="B285" s="8" t="n">
        <v>45835</v>
      </c>
      <c r="C285" s="8" t="n">
        <v>45836</v>
      </c>
      <c r="D285" s="3" t="s">
        <v>575</v>
      </c>
      <c r="E285" s="3" t="s">
        <v>576</v>
      </c>
      <c r="F285" s="9" t="n">
        <v>3781200</v>
      </c>
      <c r="G285" s="9"/>
      <c r="H285" s="9" t="n">
        <f aca="false">H284+G285-F285</f>
        <v>55585840.5</v>
      </c>
    </row>
    <row r="286" customFormat="false" ht="15" hidden="false" customHeight="false" outlineLevel="0" collapsed="false">
      <c r="A286" s="3" t="n">
        <v>278</v>
      </c>
      <c r="B286" s="8" t="n">
        <v>45838</v>
      </c>
      <c r="C286" s="8" t="n">
        <v>45838</v>
      </c>
      <c r="D286" s="3" t="s">
        <v>577</v>
      </c>
      <c r="E286" s="3" t="s">
        <v>315</v>
      </c>
      <c r="F286" s="9"/>
      <c r="G286" s="9" t="n">
        <v>37770.74</v>
      </c>
      <c r="H286" s="9" t="n">
        <f aca="false">H285+G286-F286</f>
        <v>55623611.24</v>
      </c>
    </row>
    <row r="287" customFormat="false" ht="15" hidden="false" customHeight="false" outlineLevel="0" collapsed="false">
      <c r="A287" s="3" t="n">
        <v>279</v>
      </c>
      <c r="B287" s="8" t="n">
        <v>45838</v>
      </c>
      <c r="C287" s="8" t="n">
        <v>45838</v>
      </c>
      <c r="D287" s="3" t="s">
        <v>578</v>
      </c>
      <c r="E287" s="3" t="s">
        <v>579</v>
      </c>
      <c r="F287" s="9" t="n">
        <v>4500</v>
      </c>
      <c r="G287" s="9"/>
      <c r="H287" s="9" t="n">
        <f aca="false">H286+G287-F287</f>
        <v>55619111.24</v>
      </c>
    </row>
    <row r="288" customFormat="false" ht="15" hidden="false" customHeight="false" outlineLevel="0" collapsed="false">
      <c r="A288" s="3" t="n">
        <v>280</v>
      </c>
      <c r="B288" s="8" t="n">
        <v>45838</v>
      </c>
      <c r="C288" s="8" t="n">
        <v>45839</v>
      </c>
      <c r="D288" s="3" t="s">
        <v>580</v>
      </c>
      <c r="E288" s="3" t="s">
        <v>136</v>
      </c>
      <c r="F288" s="9" t="n">
        <v>4129.21</v>
      </c>
      <c r="G288" s="9"/>
      <c r="H288" s="9" t="n">
        <f aca="false">H287+G288-F288</f>
        <v>55614982.03</v>
      </c>
    </row>
    <row r="289" customFormat="false" ht="15" hidden="false" customHeight="false" outlineLevel="0" collapsed="false">
      <c r="A289" s="3" t="n">
        <v>281</v>
      </c>
      <c r="B289" s="8" t="n">
        <v>45838</v>
      </c>
      <c r="C289" s="8" t="n">
        <v>45838</v>
      </c>
      <c r="D289" s="3" t="s">
        <v>581</v>
      </c>
      <c r="E289" s="3" t="s">
        <v>224</v>
      </c>
      <c r="F289" s="9" t="n">
        <v>300</v>
      </c>
      <c r="G289" s="9"/>
      <c r="H289" s="9" t="n">
        <f aca="false">H288+G289-F289</f>
        <v>55614682.03</v>
      </c>
    </row>
    <row r="290" customFormat="false" ht="15" hidden="false" customHeight="false" outlineLevel="0" collapsed="false">
      <c r="A290" s="3" t="n">
        <v>282</v>
      </c>
      <c r="B290" s="8" t="n">
        <v>45838</v>
      </c>
      <c r="C290" s="8" t="n">
        <v>45838</v>
      </c>
      <c r="D290" s="3" t="s">
        <v>582</v>
      </c>
      <c r="E290" s="3" t="s">
        <v>140</v>
      </c>
      <c r="F290" s="9" t="n">
        <v>669.69</v>
      </c>
      <c r="G290" s="9"/>
      <c r="H290" s="9" t="n">
        <f aca="false">H289+G290-F290</f>
        <v>55614012.34</v>
      </c>
    </row>
    <row r="291" customFormat="false" ht="15" hidden="false" customHeight="false" outlineLevel="0" collapsed="false">
      <c r="A291" s="3" t="n">
        <v>283</v>
      </c>
      <c r="B291" s="8" t="n">
        <v>45838</v>
      </c>
      <c r="C291" s="8" t="n">
        <v>45838</v>
      </c>
      <c r="D291" s="3" t="s">
        <v>583</v>
      </c>
      <c r="E291" s="3" t="s">
        <v>584</v>
      </c>
      <c r="F291" s="9" t="n">
        <v>800</v>
      </c>
      <c r="G291" s="9"/>
      <c r="H291" s="9" t="n">
        <f aca="false">H290+G291-F291</f>
        <v>55613212.34</v>
      </c>
    </row>
    <row r="292" customFormat="false" ht="15" hidden="false" customHeight="false" outlineLevel="0" collapsed="false">
      <c r="A292" s="3" t="n">
        <v>284</v>
      </c>
      <c r="B292" s="8" t="n">
        <v>45840</v>
      </c>
      <c r="C292" s="8" t="n">
        <v>45840</v>
      </c>
      <c r="D292" s="3" t="s">
        <v>585</v>
      </c>
      <c r="E292" s="3" t="s">
        <v>586</v>
      </c>
      <c r="F292" s="9"/>
      <c r="G292" s="9" t="n">
        <v>2843300</v>
      </c>
      <c r="H292" s="9" t="n">
        <f aca="false">H291+G292-F292</f>
        <v>58456512.34</v>
      </c>
    </row>
    <row r="293" customFormat="false" ht="15" hidden="false" customHeight="false" outlineLevel="0" collapsed="false">
      <c r="A293" s="3" t="n">
        <v>285</v>
      </c>
      <c r="B293" s="8" t="n">
        <v>45841</v>
      </c>
      <c r="C293" s="8" t="n">
        <v>45841</v>
      </c>
      <c r="D293" s="3" t="s">
        <v>587</v>
      </c>
      <c r="E293" s="3" t="s">
        <v>588</v>
      </c>
      <c r="F293" s="9"/>
      <c r="G293" s="9" t="n">
        <v>4134700</v>
      </c>
      <c r="H293" s="9" t="n">
        <f aca="false">H292+G293-F293</f>
        <v>62591212.34</v>
      </c>
    </row>
    <row r="294" customFormat="false" ht="15" hidden="false" customHeight="false" outlineLevel="0" collapsed="false">
      <c r="A294" s="3" t="n">
        <v>286</v>
      </c>
      <c r="B294" s="8" t="n">
        <v>45845</v>
      </c>
      <c r="C294" s="8" t="n">
        <v>45845</v>
      </c>
      <c r="D294" s="3" t="s">
        <v>589</v>
      </c>
      <c r="E294" s="3" t="s">
        <v>590</v>
      </c>
      <c r="F294" s="9"/>
      <c r="G294" s="9" t="n">
        <v>648263.41</v>
      </c>
      <c r="H294" s="9" t="n">
        <f aca="false">H293+G294-F294</f>
        <v>63239475.75</v>
      </c>
    </row>
    <row r="295" customFormat="false" ht="15" hidden="false" customHeight="false" outlineLevel="0" collapsed="false">
      <c r="A295" s="3" t="n">
        <v>287</v>
      </c>
      <c r="B295" s="8" t="n">
        <v>45845</v>
      </c>
      <c r="C295" s="8" t="n">
        <v>45845</v>
      </c>
      <c r="D295" s="3" t="s">
        <v>591</v>
      </c>
      <c r="E295" s="3" t="s">
        <v>146</v>
      </c>
      <c r="F295" s="9"/>
      <c r="G295" s="9" t="n">
        <v>478485.47</v>
      </c>
      <c r="H295" s="9" t="n">
        <f aca="false">H294+G295-F295</f>
        <v>63717961.22</v>
      </c>
    </row>
    <row r="296" customFormat="false" ht="15" hidden="false" customHeight="false" outlineLevel="0" collapsed="false">
      <c r="A296" s="3" t="n">
        <v>288</v>
      </c>
      <c r="B296" s="8" t="n">
        <v>45845</v>
      </c>
      <c r="C296" s="8" t="n">
        <v>45845</v>
      </c>
      <c r="D296" s="3" t="s">
        <v>592</v>
      </c>
      <c r="E296" s="3" t="s">
        <v>593</v>
      </c>
      <c r="F296" s="9" t="n">
        <v>1040900</v>
      </c>
      <c r="G296" s="9"/>
      <c r="H296" s="9" t="n">
        <f aca="false">H295+G296-F296</f>
        <v>62677061.22</v>
      </c>
    </row>
    <row r="297" customFormat="false" ht="15" hidden="false" customHeight="false" outlineLevel="0" collapsed="false">
      <c r="A297" s="3" t="n">
        <v>289</v>
      </c>
      <c r="B297" s="8" t="n">
        <v>45845</v>
      </c>
      <c r="C297" s="8" t="n">
        <v>45845</v>
      </c>
      <c r="D297" s="3" t="s">
        <v>594</v>
      </c>
      <c r="E297" s="3" t="s">
        <v>595</v>
      </c>
      <c r="F297" s="9" t="n">
        <v>261500</v>
      </c>
      <c r="G297" s="9"/>
      <c r="H297" s="9" t="n">
        <f aca="false">H296+G297-F297</f>
        <v>62415561.22</v>
      </c>
    </row>
    <row r="298" customFormat="false" ht="15" hidden="false" customHeight="false" outlineLevel="0" collapsed="false">
      <c r="A298" s="3" t="n">
        <v>290</v>
      </c>
      <c r="B298" s="8" t="n">
        <v>45845</v>
      </c>
      <c r="C298" s="8" t="n">
        <v>45846</v>
      </c>
      <c r="D298" s="3" t="s">
        <v>596</v>
      </c>
      <c r="E298" s="3" t="s">
        <v>597</v>
      </c>
      <c r="F298" s="9" t="n">
        <v>287600</v>
      </c>
      <c r="G298" s="9"/>
      <c r="H298" s="9" t="n">
        <f aca="false">H297+G298-F298</f>
        <v>62127961.22</v>
      </c>
    </row>
    <row r="299" customFormat="false" ht="15" hidden="false" customHeight="false" outlineLevel="0" collapsed="false">
      <c r="A299" s="3" t="n">
        <v>291</v>
      </c>
      <c r="B299" s="8" t="n">
        <v>45845</v>
      </c>
      <c r="C299" s="8" t="n">
        <v>45845</v>
      </c>
      <c r="D299" s="3" t="s">
        <v>598</v>
      </c>
      <c r="E299" s="3" t="s">
        <v>599</v>
      </c>
      <c r="F299" s="9" t="n">
        <v>85000</v>
      </c>
      <c r="G299" s="9"/>
      <c r="H299" s="9" t="n">
        <f aca="false">H298+G299-F299</f>
        <v>62042961.22</v>
      </c>
    </row>
    <row r="300" customFormat="false" ht="15" hidden="false" customHeight="false" outlineLevel="0" collapsed="false">
      <c r="A300" s="3" t="n">
        <v>292</v>
      </c>
      <c r="B300" s="8" t="n">
        <v>45845</v>
      </c>
      <c r="C300" s="8" t="n">
        <v>45845</v>
      </c>
      <c r="D300" s="3" t="s">
        <v>600</v>
      </c>
      <c r="E300" s="3" t="s">
        <v>601</v>
      </c>
      <c r="F300" s="9" t="n">
        <v>244801.5</v>
      </c>
      <c r="G300" s="9"/>
      <c r="H300" s="9" t="n">
        <f aca="false">H299+G300-F300</f>
        <v>61798159.72</v>
      </c>
    </row>
    <row r="301" customFormat="false" ht="15" hidden="false" customHeight="false" outlineLevel="0" collapsed="false">
      <c r="A301" s="3" t="n">
        <v>293</v>
      </c>
      <c r="B301" s="8" t="n">
        <v>45845</v>
      </c>
      <c r="C301" s="8" t="n">
        <v>45846</v>
      </c>
      <c r="D301" s="3" t="s">
        <v>602</v>
      </c>
      <c r="E301" s="3" t="s">
        <v>603</v>
      </c>
      <c r="F301" s="9" t="n">
        <v>1500000</v>
      </c>
      <c r="G301" s="9"/>
      <c r="H301" s="9" t="n">
        <f aca="false">H300+G301-F301</f>
        <v>60298159.72</v>
      </c>
    </row>
    <row r="302" customFormat="false" ht="15" hidden="false" customHeight="false" outlineLevel="0" collapsed="false">
      <c r="A302" s="3" t="n">
        <v>294</v>
      </c>
      <c r="B302" s="8" t="n">
        <v>45846</v>
      </c>
      <c r="C302" s="8" t="n">
        <v>45846</v>
      </c>
      <c r="D302" s="3" t="s">
        <v>604</v>
      </c>
      <c r="E302" s="3" t="s">
        <v>605</v>
      </c>
      <c r="F302" s="9"/>
      <c r="G302" s="9" t="n">
        <v>1661800</v>
      </c>
      <c r="H302" s="9" t="n">
        <f aca="false">H301+G302-F302</f>
        <v>61959959.72</v>
      </c>
    </row>
    <row r="303" customFormat="false" ht="15" hidden="false" customHeight="false" outlineLevel="0" collapsed="false">
      <c r="A303" s="3" t="n">
        <v>295</v>
      </c>
      <c r="B303" s="8" t="n">
        <v>45847</v>
      </c>
      <c r="C303" s="8" t="n">
        <v>45847</v>
      </c>
      <c r="D303" s="3" t="s">
        <v>606</v>
      </c>
      <c r="E303" s="3" t="s">
        <v>607</v>
      </c>
      <c r="F303" s="9"/>
      <c r="G303" s="9" t="n">
        <v>363379.03</v>
      </c>
      <c r="H303" s="9" t="n">
        <f aca="false">H302+G303-F303</f>
        <v>62323338.75</v>
      </c>
    </row>
    <row r="304" customFormat="false" ht="15" hidden="false" customHeight="false" outlineLevel="0" collapsed="false">
      <c r="A304" s="3" t="n">
        <v>296</v>
      </c>
      <c r="B304" s="8" t="n">
        <v>45848</v>
      </c>
      <c r="C304" s="8" t="n">
        <v>45848</v>
      </c>
      <c r="D304" s="3" t="s">
        <v>608</v>
      </c>
      <c r="E304" s="3" t="s">
        <v>609</v>
      </c>
      <c r="F304" s="9" t="n">
        <v>450800</v>
      </c>
      <c r="G304" s="9"/>
      <c r="H304" s="9" t="n">
        <f aca="false">H303+G304-F304</f>
        <v>61872538.75</v>
      </c>
    </row>
    <row r="305" customFormat="false" ht="15" hidden="false" customHeight="false" outlineLevel="0" collapsed="false">
      <c r="A305" s="3" t="n">
        <v>297</v>
      </c>
      <c r="B305" s="8" t="n">
        <v>45848</v>
      </c>
      <c r="C305" s="8" t="n">
        <v>45848</v>
      </c>
      <c r="D305" s="3" t="s">
        <v>610</v>
      </c>
      <c r="E305" s="3" t="s">
        <v>611</v>
      </c>
      <c r="F305" s="9" t="n">
        <v>1057421.95</v>
      </c>
      <c r="G305" s="9"/>
      <c r="H305" s="9" t="n">
        <f aca="false">H304+G305-F305</f>
        <v>60815116.8</v>
      </c>
    </row>
    <row r="306" customFormat="false" ht="15" hidden="false" customHeight="false" outlineLevel="0" collapsed="false">
      <c r="A306" s="3" t="n">
        <v>298</v>
      </c>
      <c r="B306" s="8" t="n">
        <v>45849</v>
      </c>
      <c r="C306" s="8" t="n">
        <v>45849</v>
      </c>
      <c r="D306" s="3" t="s">
        <v>612</v>
      </c>
      <c r="E306" s="3" t="s">
        <v>613</v>
      </c>
      <c r="F306" s="9" t="n">
        <v>2396800</v>
      </c>
      <c r="G306" s="9"/>
      <c r="H306" s="9" t="n">
        <f aca="false">H305+G306-F306</f>
        <v>58418316.8</v>
      </c>
    </row>
    <row r="307" customFormat="false" ht="15" hidden="false" customHeight="false" outlineLevel="0" collapsed="false">
      <c r="A307" s="3" t="n">
        <v>299</v>
      </c>
      <c r="B307" s="8" t="n">
        <v>45852</v>
      </c>
      <c r="C307" s="8" t="n">
        <v>45852</v>
      </c>
      <c r="D307" s="3" t="s">
        <v>614</v>
      </c>
      <c r="E307" s="3" t="s">
        <v>615</v>
      </c>
      <c r="F307" s="9"/>
      <c r="G307" s="9" t="n">
        <v>1822400.73</v>
      </c>
      <c r="H307" s="9" t="n">
        <f aca="false">H306+G307-F307</f>
        <v>60240717.53</v>
      </c>
    </row>
    <row r="308" customFormat="false" ht="15" hidden="false" customHeight="false" outlineLevel="0" collapsed="false">
      <c r="A308" s="3" t="n">
        <v>300</v>
      </c>
      <c r="B308" s="8" t="n">
        <v>45852</v>
      </c>
      <c r="C308" s="8" t="n">
        <v>45853</v>
      </c>
      <c r="D308" s="3" t="s">
        <v>616</v>
      </c>
      <c r="E308" s="3" t="s">
        <v>617</v>
      </c>
      <c r="F308" s="9" t="n">
        <v>2731900</v>
      </c>
      <c r="G308" s="9"/>
      <c r="H308" s="9" t="n">
        <f aca="false">H307+G308-F308</f>
        <v>57508817.53</v>
      </c>
    </row>
    <row r="309" customFormat="false" ht="15" hidden="false" customHeight="false" outlineLevel="0" collapsed="false">
      <c r="A309" s="3" t="n">
        <v>301</v>
      </c>
      <c r="B309" s="8" t="n">
        <v>45852</v>
      </c>
      <c r="C309" s="8" t="n">
        <v>45853</v>
      </c>
      <c r="D309" s="3" t="s">
        <v>618</v>
      </c>
      <c r="E309" s="3" t="s">
        <v>619</v>
      </c>
      <c r="F309" s="9" t="n">
        <v>241002.15</v>
      </c>
      <c r="G309" s="9"/>
      <c r="H309" s="9" t="n">
        <f aca="false">H308+G309-F309</f>
        <v>57267815.38</v>
      </c>
    </row>
    <row r="310" customFormat="false" ht="15" hidden="false" customHeight="false" outlineLevel="0" collapsed="false">
      <c r="A310" s="3" t="n">
        <v>302</v>
      </c>
      <c r="B310" s="8" t="n">
        <v>45852</v>
      </c>
      <c r="C310" s="8" t="n">
        <v>45852</v>
      </c>
      <c r="D310" s="3" t="s">
        <v>620</v>
      </c>
      <c r="E310" s="3" t="s">
        <v>621</v>
      </c>
      <c r="F310" s="9" t="n">
        <v>519000</v>
      </c>
      <c r="G310" s="9"/>
      <c r="H310" s="9" t="n">
        <f aca="false">H309+G310-F310</f>
        <v>56748815.38</v>
      </c>
    </row>
    <row r="311" customFormat="false" ht="15" hidden="false" customHeight="false" outlineLevel="0" collapsed="false">
      <c r="A311" s="3" t="n">
        <v>303</v>
      </c>
      <c r="B311" s="8" t="n">
        <v>45852</v>
      </c>
      <c r="C311" s="8" t="n">
        <v>45852</v>
      </c>
      <c r="D311" s="3" t="s">
        <v>622</v>
      </c>
      <c r="E311" s="3" t="s">
        <v>623</v>
      </c>
      <c r="F311" s="9" t="n">
        <v>1850000</v>
      </c>
      <c r="G311" s="9"/>
      <c r="H311" s="9" t="n">
        <f aca="false">H310+G311-F311</f>
        <v>54898815.38</v>
      </c>
    </row>
    <row r="312" customFormat="false" ht="15" hidden="false" customHeight="false" outlineLevel="0" collapsed="false">
      <c r="A312" s="3" t="n">
        <v>304</v>
      </c>
      <c r="B312" s="8" t="n">
        <v>45852</v>
      </c>
      <c r="C312" s="8" t="n">
        <v>45852</v>
      </c>
      <c r="D312" s="3" t="s">
        <v>624</v>
      </c>
      <c r="E312" s="3" t="s">
        <v>623</v>
      </c>
      <c r="F312" s="9" t="n">
        <v>1850000</v>
      </c>
      <c r="G312" s="9"/>
      <c r="H312" s="9" t="n">
        <f aca="false">H311+G312-F312</f>
        <v>53048815.38</v>
      </c>
    </row>
    <row r="313" customFormat="false" ht="15" hidden="false" customHeight="false" outlineLevel="0" collapsed="false">
      <c r="A313" s="3" t="n">
        <v>305</v>
      </c>
      <c r="B313" s="8" t="n">
        <v>45853</v>
      </c>
      <c r="C313" s="8" t="n">
        <v>45853</v>
      </c>
      <c r="D313" s="3" t="s">
        <v>625</v>
      </c>
      <c r="E313" s="3" t="s">
        <v>626</v>
      </c>
      <c r="F313" s="9" t="n">
        <v>828000</v>
      </c>
      <c r="G313" s="9"/>
      <c r="H313" s="9" t="n">
        <f aca="false">H312+G313-F313</f>
        <v>52220815.38</v>
      </c>
    </row>
    <row r="314" customFormat="false" ht="15" hidden="false" customHeight="false" outlineLevel="0" collapsed="false">
      <c r="A314" s="3" t="n">
        <v>306</v>
      </c>
      <c r="B314" s="8" t="n">
        <v>45853</v>
      </c>
      <c r="C314" s="8" t="n">
        <v>45853</v>
      </c>
      <c r="D314" s="3" t="s">
        <v>627</v>
      </c>
      <c r="E314" s="3" t="s">
        <v>628</v>
      </c>
      <c r="F314" s="9"/>
      <c r="G314" s="9" t="n">
        <v>1850000</v>
      </c>
      <c r="H314" s="9" t="n">
        <f aca="false">H313+G314-F314</f>
        <v>54070815.38</v>
      </c>
    </row>
    <row r="315" customFormat="false" ht="15" hidden="false" customHeight="false" outlineLevel="0" collapsed="false">
      <c r="A315" s="3" t="n">
        <v>307</v>
      </c>
      <c r="B315" s="8" t="n">
        <v>45856</v>
      </c>
      <c r="C315" s="8" t="n">
        <v>45857</v>
      </c>
      <c r="D315" s="3" t="s">
        <v>629</v>
      </c>
      <c r="E315" s="3" t="s">
        <v>630</v>
      </c>
      <c r="F315" s="9"/>
      <c r="G315" s="9" t="n">
        <v>4244600</v>
      </c>
      <c r="H315" s="9" t="n">
        <f aca="false">H314+G315-F315</f>
        <v>58315415.38</v>
      </c>
    </row>
    <row r="316" customFormat="false" ht="15" hidden="false" customHeight="false" outlineLevel="0" collapsed="false">
      <c r="A316" s="3" t="n">
        <v>308</v>
      </c>
      <c r="B316" s="8" t="n">
        <v>45856</v>
      </c>
      <c r="C316" s="8" t="n">
        <v>45856</v>
      </c>
      <c r="D316" s="3" t="s">
        <v>631</v>
      </c>
      <c r="E316" s="3" t="s">
        <v>632</v>
      </c>
      <c r="F316" s="9" t="n">
        <v>10000000</v>
      </c>
      <c r="G316" s="9"/>
      <c r="H316" s="9" t="n">
        <f aca="false">H315+G316-F316</f>
        <v>48315415.38</v>
      </c>
    </row>
    <row r="317" customFormat="false" ht="15" hidden="false" customHeight="false" outlineLevel="0" collapsed="false">
      <c r="A317" s="3" t="n">
        <v>309</v>
      </c>
      <c r="B317" s="8" t="n">
        <v>45859</v>
      </c>
      <c r="C317" s="8" t="n">
        <v>45860</v>
      </c>
      <c r="D317" s="3" t="s">
        <v>633</v>
      </c>
      <c r="E317" s="3" t="s">
        <v>634</v>
      </c>
      <c r="F317" s="9"/>
      <c r="G317" s="9" t="n">
        <v>3959300</v>
      </c>
      <c r="H317" s="9" t="n">
        <f aca="false">H316+G317-F317</f>
        <v>52274715.38</v>
      </c>
    </row>
    <row r="318" customFormat="false" ht="15" hidden="false" customHeight="false" outlineLevel="0" collapsed="false">
      <c r="A318" s="3" t="n">
        <v>310</v>
      </c>
      <c r="B318" s="8" t="n">
        <v>45859</v>
      </c>
      <c r="C318" s="8" t="n">
        <v>45859</v>
      </c>
      <c r="D318" s="3" t="s">
        <v>635</v>
      </c>
      <c r="E318" s="3" t="s">
        <v>636</v>
      </c>
      <c r="F318" s="9"/>
      <c r="G318" s="9" t="n">
        <v>892100</v>
      </c>
      <c r="H318" s="9" t="n">
        <f aca="false">H317+G318-F318</f>
        <v>53166815.38</v>
      </c>
    </row>
    <row r="319" customFormat="false" ht="15" hidden="false" customHeight="false" outlineLevel="0" collapsed="false">
      <c r="A319" s="3" t="n">
        <v>311</v>
      </c>
      <c r="B319" s="8" t="n">
        <v>45859</v>
      </c>
      <c r="C319" s="8" t="n">
        <v>45859</v>
      </c>
      <c r="D319" s="3" t="s">
        <v>637</v>
      </c>
      <c r="E319" s="3" t="s">
        <v>638</v>
      </c>
      <c r="F319" s="9"/>
      <c r="G319" s="9" t="n">
        <v>1394992.88</v>
      </c>
      <c r="H319" s="9" t="n">
        <f aca="false">H318+G319-F319</f>
        <v>54561808.26</v>
      </c>
    </row>
    <row r="320" customFormat="false" ht="15" hidden="false" customHeight="false" outlineLevel="0" collapsed="false">
      <c r="A320" s="3" t="n">
        <v>312</v>
      </c>
      <c r="B320" s="8" t="n">
        <v>45859</v>
      </c>
      <c r="C320" s="8" t="n">
        <v>45859</v>
      </c>
      <c r="D320" s="3" t="s">
        <v>639</v>
      </c>
      <c r="E320" s="3" t="s">
        <v>192</v>
      </c>
      <c r="F320" s="9"/>
      <c r="G320" s="9" t="n">
        <v>1664180.39</v>
      </c>
      <c r="H320" s="9" t="n">
        <f aca="false">H319+G320-F320</f>
        <v>56225988.65</v>
      </c>
    </row>
    <row r="321" customFormat="false" ht="15" hidden="false" customHeight="false" outlineLevel="0" collapsed="false">
      <c r="A321" s="3" t="n">
        <v>313</v>
      </c>
      <c r="B321" s="8" t="n">
        <v>45859</v>
      </c>
      <c r="C321" s="8" t="n">
        <v>45859</v>
      </c>
      <c r="D321" s="3" t="s">
        <v>640</v>
      </c>
      <c r="E321" s="3" t="s">
        <v>641</v>
      </c>
      <c r="F321" s="9"/>
      <c r="G321" s="9" t="n">
        <v>736955.73</v>
      </c>
      <c r="H321" s="9" t="n">
        <f aca="false">H320+G321-F321</f>
        <v>56962944.38</v>
      </c>
    </row>
    <row r="322" customFormat="false" ht="15" hidden="false" customHeight="false" outlineLevel="0" collapsed="false">
      <c r="A322" s="3" t="n">
        <v>314</v>
      </c>
      <c r="B322" s="8" t="n">
        <v>45859</v>
      </c>
      <c r="C322" s="8" t="n">
        <v>45860</v>
      </c>
      <c r="D322" s="3" t="s">
        <v>642</v>
      </c>
      <c r="E322" s="3" t="s">
        <v>643</v>
      </c>
      <c r="F322" s="9" t="n">
        <v>1179837.76</v>
      </c>
      <c r="G322" s="9"/>
      <c r="H322" s="9" t="n">
        <f aca="false">H321+G322-F322</f>
        <v>55783106.62</v>
      </c>
    </row>
    <row r="323" customFormat="false" ht="15" hidden="false" customHeight="false" outlineLevel="0" collapsed="false">
      <c r="A323" s="3" t="n">
        <v>315</v>
      </c>
      <c r="B323" s="8" t="n">
        <v>45859</v>
      </c>
      <c r="C323" s="8" t="n">
        <v>45859</v>
      </c>
      <c r="D323" s="3" t="s">
        <v>644</v>
      </c>
      <c r="E323" s="3" t="s">
        <v>645</v>
      </c>
      <c r="F323" s="9" t="n">
        <v>329949.86</v>
      </c>
      <c r="G323" s="9"/>
      <c r="H323" s="9" t="n">
        <f aca="false">H322+G323-F323</f>
        <v>55453156.76</v>
      </c>
    </row>
    <row r="324" customFormat="false" ht="15" hidden="false" customHeight="false" outlineLevel="0" collapsed="false">
      <c r="A324" s="3" t="n">
        <v>316</v>
      </c>
      <c r="B324" s="8" t="n">
        <v>45859</v>
      </c>
      <c r="C324" s="8" t="n">
        <v>45859</v>
      </c>
      <c r="D324" s="3" t="s">
        <v>646</v>
      </c>
      <c r="E324" s="3" t="s">
        <v>647</v>
      </c>
      <c r="F324" s="9" t="n">
        <v>650000</v>
      </c>
      <c r="G324" s="9"/>
      <c r="H324" s="9" t="n">
        <f aca="false">H323+G324-F324</f>
        <v>54803156.76</v>
      </c>
    </row>
    <row r="325" customFormat="false" ht="15" hidden="false" customHeight="false" outlineLevel="0" collapsed="false">
      <c r="A325" s="3" t="n">
        <v>317</v>
      </c>
      <c r="B325" s="8" t="n">
        <v>45860</v>
      </c>
      <c r="C325" s="8" t="n">
        <v>45860</v>
      </c>
      <c r="D325" s="3" t="s">
        <v>648</v>
      </c>
      <c r="E325" s="3" t="s">
        <v>649</v>
      </c>
      <c r="F325" s="9"/>
      <c r="G325" s="9" t="n">
        <v>4703300</v>
      </c>
      <c r="H325" s="9" t="n">
        <f aca="false">H324+G325-F325</f>
        <v>59506456.76</v>
      </c>
    </row>
    <row r="326" customFormat="false" ht="15" hidden="false" customHeight="false" outlineLevel="0" collapsed="false">
      <c r="A326" s="3" t="n">
        <v>318</v>
      </c>
      <c r="B326" s="8" t="n">
        <v>45860</v>
      </c>
      <c r="C326" s="8" t="n">
        <v>45860</v>
      </c>
      <c r="D326" s="3" t="s">
        <v>650</v>
      </c>
      <c r="E326" s="3" t="s">
        <v>651</v>
      </c>
      <c r="F326" s="9" t="n">
        <v>176721.31</v>
      </c>
      <c r="G326" s="9"/>
      <c r="H326" s="9" t="n">
        <f aca="false">H325+G326-F326</f>
        <v>59329735.45</v>
      </c>
    </row>
    <row r="327" customFormat="false" ht="15" hidden="false" customHeight="false" outlineLevel="0" collapsed="false">
      <c r="A327" s="3" t="n">
        <v>319</v>
      </c>
      <c r="B327" s="8" t="n">
        <v>45861</v>
      </c>
      <c r="C327" s="8" t="n">
        <v>45861</v>
      </c>
      <c r="D327" s="3" t="s">
        <v>652</v>
      </c>
      <c r="E327" s="3" t="s">
        <v>653</v>
      </c>
      <c r="F327" s="9"/>
      <c r="G327" s="9" t="n">
        <v>517732.58</v>
      </c>
      <c r="H327" s="9" t="n">
        <f aca="false">H326+G327-F327</f>
        <v>59847468.03</v>
      </c>
    </row>
    <row r="328" customFormat="false" ht="15" hidden="false" customHeight="false" outlineLevel="0" collapsed="false">
      <c r="A328" s="3" t="n">
        <v>320</v>
      </c>
      <c r="B328" s="8" t="n">
        <v>45861</v>
      </c>
      <c r="C328" s="8" t="n">
        <v>45862</v>
      </c>
      <c r="D328" s="3" t="s">
        <v>654</v>
      </c>
      <c r="E328" s="3" t="s">
        <v>655</v>
      </c>
      <c r="F328" s="9" t="n">
        <v>239328.69</v>
      </c>
      <c r="G328" s="9"/>
      <c r="H328" s="9" t="n">
        <f aca="false">H327+G328-F328</f>
        <v>59608139.34</v>
      </c>
    </row>
    <row r="329" customFormat="false" ht="15" hidden="false" customHeight="false" outlineLevel="0" collapsed="false">
      <c r="A329" s="3" t="n">
        <v>321</v>
      </c>
      <c r="B329" s="8" t="n">
        <v>45861</v>
      </c>
      <c r="C329" s="8" t="n">
        <v>45861</v>
      </c>
      <c r="D329" s="3" t="s">
        <v>656</v>
      </c>
      <c r="E329" s="3" t="s">
        <v>657</v>
      </c>
      <c r="F329" s="9" t="n">
        <v>218344.88</v>
      </c>
      <c r="G329" s="9"/>
      <c r="H329" s="9" t="n">
        <f aca="false">H328+G329-F329</f>
        <v>59389794.46</v>
      </c>
    </row>
    <row r="330" customFormat="false" ht="15" hidden="false" customHeight="false" outlineLevel="0" collapsed="false">
      <c r="A330" s="3" t="n">
        <v>322</v>
      </c>
      <c r="B330" s="8" t="n">
        <v>45863</v>
      </c>
      <c r="C330" s="8" t="n">
        <v>45863</v>
      </c>
      <c r="D330" s="3" t="s">
        <v>658</v>
      </c>
      <c r="E330" s="3" t="s">
        <v>659</v>
      </c>
      <c r="F330" s="9" t="n">
        <v>2471900</v>
      </c>
      <c r="G330" s="9"/>
      <c r="H330" s="9" t="n">
        <f aca="false">H329+G330-F330</f>
        <v>56917894.46</v>
      </c>
    </row>
    <row r="331" customFormat="false" ht="15" hidden="false" customHeight="false" outlineLevel="0" collapsed="false">
      <c r="A331" s="3" t="n">
        <v>323</v>
      </c>
      <c r="B331" s="8" t="n">
        <v>45866</v>
      </c>
      <c r="C331" s="8" t="n">
        <v>45866</v>
      </c>
      <c r="D331" s="3" t="s">
        <v>660</v>
      </c>
      <c r="E331" s="3" t="s">
        <v>661</v>
      </c>
      <c r="F331" s="9"/>
      <c r="G331" s="9" t="n">
        <v>4369500</v>
      </c>
      <c r="H331" s="9" t="n">
        <f aca="false">H330+G331-F331</f>
        <v>61287394.46</v>
      </c>
    </row>
    <row r="332" customFormat="false" ht="15" hidden="false" customHeight="false" outlineLevel="0" collapsed="false">
      <c r="A332" s="3" t="n">
        <v>324</v>
      </c>
      <c r="B332" s="8" t="n">
        <v>45866</v>
      </c>
      <c r="C332" s="8" t="n">
        <v>45866</v>
      </c>
      <c r="D332" s="3" t="s">
        <v>662</v>
      </c>
      <c r="E332" s="3" t="s">
        <v>663</v>
      </c>
      <c r="F332" s="9"/>
      <c r="G332" s="9" t="n">
        <v>722799.77</v>
      </c>
      <c r="H332" s="9" t="n">
        <f aca="false">H331+G332-F332</f>
        <v>62010194.23</v>
      </c>
    </row>
    <row r="333" customFormat="false" ht="15" hidden="false" customHeight="false" outlineLevel="0" collapsed="false">
      <c r="A333" s="3" t="n">
        <v>325</v>
      </c>
      <c r="B333" s="8" t="n">
        <v>45866</v>
      </c>
      <c r="C333" s="8" t="n">
        <v>45866</v>
      </c>
      <c r="D333" s="3" t="s">
        <v>664</v>
      </c>
      <c r="E333" s="3" t="s">
        <v>665</v>
      </c>
      <c r="F333" s="9" t="n">
        <v>2205200</v>
      </c>
      <c r="G333" s="9"/>
      <c r="H333" s="9" t="n">
        <f aca="false">H332+G333-F333</f>
        <v>59804994.23</v>
      </c>
    </row>
    <row r="334" customFormat="false" ht="15" hidden="false" customHeight="false" outlineLevel="0" collapsed="false">
      <c r="A334" s="3" t="n">
        <v>326</v>
      </c>
      <c r="B334" s="8" t="n">
        <v>45866</v>
      </c>
      <c r="C334" s="8" t="n">
        <v>45866</v>
      </c>
      <c r="D334" s="3" t="s">
        <v>666</v>
      </c>
      <c r="E334" s="3" t="s">
        <v>667</v>
      </c>
      <c r="F334" s="9" t="n">
        <v>4085300</v>
      </c>
      <c r="G334" s="9"/>
      <c r="H334" s="9" t="n">
        <f aca="false">H333+G334-F334</f>
        <v>55719694.23</v>
      </c>
    </row>
    <row r="335" customFormat="false" ht="15" hidden="false" customHeight="false" outlineLevel="0" collapsed="false">
      <c r="A335" s="3" t="n">
        <v>327</v>
      </c>
      <c r="B335" s="8" t="n">
        <v>45866</v>
      </c>
      <c r="C335" s="8" t="n">
        <v>45866</v>
      </c>
      <c r="D335" s="3" t="s">
        <v>668</v>
      </c>
      <c r="E335" s="3" t="s">
        <v>669</v>
      </c>
      <c r="F335" s="9" t="n">
        <v>277377.81</v>
      </c>
      <c r="G335" s="9"/>
      <c r="H335" s="9" t="n">
        <f aca="false">H334+G335-F335</f>
        <v>55442316.42</v>
      </c>
    </row>
    <row r="336" customFormat="false" ht="15" hidden="false" customHeight="false" outlineLevel="0" collapsed="false">
      <c r="A336" s="3" t="n">
        <v>328</v>
      </c>
      <c r="B336" s="8" t="n">
        <v>45869</v>
      </c>
      <c r="C336" s="8" t="n">
        <v>45869</v>
      </c>
      <c r="D336" s="3" t="s">
        <v>670</v>
      </c>
      <c r="E336" s="3" t="s">
        <v>671</v>
      </c>
      <c r="F336" s="9" t="n">
        <v>4500</v>
      </c>
      <c r="G336" s="9"/>
      <c r="H336" s="9" t="n">
        <f aca="false">H335+G336-F336</f>
        <v>55437816.42</v>
      </c>
    </row>
    <row r="337" customFormat="false" ht="15" hidden="false" customHeight="false" outlineLevel="0" collapsed="false">
      <c r="A337" s="3" t="n">
        <v>329</v>
      </c>
      <c r="B337" s="8" t="n">
        <v>45869</v>
      </c>
      <c r="C337" s="8" t="n">
        <v>45869</v>
      </c>
      <c r="D337" s="3" t="s">
        <v>672</v>
      </c>
      <c r="E337" s="3" t="s">
        <v>136</v>
      </c>
      <c r="F337" s="9" t="n">
        <v>4565.5</v>
      </c>
      <c r="G337" s="9"/>
      <c r="H337" s="9" t="n">
        <f aca="false">H336+G337-F337</f>
        <v>55433250.92</v>
      </c>
    </row>
    <row r="338" customFormat="false" ht="15" hidden="false" customHeight="false" outlineLevel="0" collapsed="false">
      <c r="A338" s="3" t="n">
        <v>330</v>
      </c>
      <c r="B338" s="8" t="n">
        <v>45869</v>
      </c>
      <c r="C338" s="8" t="n">
        <v>45870</v>
      </c>
      <c r="D338" s="3" t="s">
        <v>673</v>
      </c>
      <c r="E338" s="3" t="s">
        <v>674</v>
      </c>
      <c r="F338" s="9" t="n">
        <v>500</v>
      </c>
      <c r="G338" s="9"/>
      <c r="H338" s="9" t="n">
        <f aca="false">H337+G338-F338</f>
        <v>55432750.92</v>
      </c>
    </row>
    <row r="339" customFormat="false" ht="15" hidden="false" customHeight="false" outlineLevel="0" collapsed="false">
      <c r="A339" s="3" t="n">
        <v>331</v>
      </c>
      <c r="B339" s="8" t="n">
        <v>45869</v>
      </c>
      <c r="C339" s="8" t="n">
        <v>45870</v>
      </c>
      <c r="D339" s="3" t="s">
        <v>675</v>
      </c>
      <c r="E339" s="3" t="s">
        <v>140</v>
      </c>
      <c r="F339" s="9" t="n">
        <v>717.41</v>
      </c>
      <c r="G339" s="9"/>
      <c r="H339" s="9" t="n">
        <f aca="false">H338+G339-F339</f>
        <v>55432033.51</v>
      </c>
    </row>
    <row r="340" customFormat="false" ht="15" hidden="false" customHeight="false" outlineLevel="0" collapsed="false">
      <c r="A340" s="3" t="n">
        <v>332</v>
      </c>
      <c r="B340" s="8" t="n">
        <v>45869</v>
      </c>
      <c r="C340" s="8" t="n">
        <v>45869</v>
      </c>
      <c r="D340" s="3" t="s">
        <v>676</v>
      </c>
      <c r="E340" s="3" t="s">
        <v>227</v>
      </c>
      <c r="F340" s="9" t="n">
        <v>900</v>
      </c>
      <c r="G340" s="9"/>
      <c r="H340" s="9" t="n">
        <f aca="false">H339+G340-F340</f>
        <v>55431133.51</v>
      </c>
    </row>
    <row r="341" customFormat="false" ht="15" hidden="false" customHeight="false" outlineLevel="0" collapsed="false">
      <c r="A341" s="3" t="n">
        <v>333</v>
      </c>
      <c r="B341" s="8" t="n">
        <v>45873</v>
      </c>
      <c r="C341" s="8" t="n">
        <v>45873</v>
      </c>
      <c r="D341" s="3" t="s">
        <v>677</v>
      </c>
      <c r="E341" s="3" t="s">
        <v>678</v>
      </c>
      <c r="F341" s="9"/>
      <c r="G341" s="9" t="n">
        <v>3188800</v>
      </c>
      <c r="H341" s="9" t="n">
        <f aca="false">H340+G341-F341</f>
        <v>58619933.51</v>
      </c>
    </row>
    <row r="342" customFormat="false" ht="15" hidden="false" customHeight="false" outlineLevel="0" collapsed="false">
      <c r="A342" s="3" t="n">
        <v>334</v>
      </c>
      <c r="B342" s="8" t="n">
        <v>45873</v>
      </c>
      <c r="C342" s="8" t="n">
        <v>45873</v>
      </c>
      <c r="D342" s="3" t="s">
        <v>679</v>
      </c>
      <c r="E342" s="3" t="s">
        <v>680</v>
      </c>
      <c r="F342" s="9" t="n">
        <v>2687600</v>
      </c>
      <c r="G342" s="9"/>
      <c r="H342" s="9" t="n">
        <f aca="false">H341+G342-F342</f>
        <v>55932333.51</v>
      </c>
    </row>
    <row r="343" customFormat="false" ht="15" hidden="false" customHeight="false" outlineLevel="0" collapsed="false">
      <c r="A343" s="3" t="n">
        <v>335</v>
      </c>
      <c r="B343" s="8" t="n">
        <v>45874</v>
      </c>
      <c r="C343" s="8" t="n">
        <v>45874</v>
      </c>
      <c r="D343" s="3" t="s">
        <v>681</v>
      </c>
      <c r="E343" s="3" t="s">
        <v>521</v>
      </c>
      <c r="F343" s="9" t="n">
        <v>2811700</v>
      </c>
      <c r="G343" s="9"/>
      <c r="H343" s="9" t="n">
        <f aca="false">H342+G343-F343</f>
        <v>53120633.51</v>
      </c>
    </row>
    <row r="344" customFormat="false" ht="15" hidden="false" customHeight="false" outlineLevel="0" collapsed="false">
      <c r="A344" s="3" t="n">
        <v>336</v>
      </c>
      <c r="B344" s="8" t="n">
        <v>45874</v>
      </c>
      <c r="C344" s="8" t="n">
        <v>45874</v>
      </c>
      <c r="D344" s="3" t="s">
        <v>682</v>
      </c>
      <c r="E344" s="3" t="s">
        <v>683</v>
      </c>
      <c r="F344" s="9" t="n">
        <v>85000</v>
      </c>
      <c r="G344" s="9"/>
      <c r="H344" s="9" t="n">
        <f aca="false">H343+G344-F344</f>
        <v>53035633.51</v>
      </c>
    </row>
    <row r="345" customFormat="false" ht="15" hidden="false" customHeight="false" outlineLevel="0" collapsed="false">
      <c r="A345" s="3" t="n">
        <v>337</v>
      </c>
      <c r="B345" s="8" t="n">
        <v>45874</v>
      </c>
      <c r="C345" s="8" t="n">
        <v>45874</v>
      </c>
      <c r="D345" s="3" t="s">
        <v>684</v>
      </c>
      <c r="E345" s="3" t="s">
        <v>685</v>
      </c>
      <c r="F345" s="9" t="n">
        <v>1380000</v>
      </c>
      <c r="G345" s="9"/>
      <c r="H345" s="9" t="n">
        <f aca="false">H344+G345-F345</f>
        <v>51655633.51</v>
      </c>
    </row>
    <row r="346" customFormat="false" ht="15" hidden="false" customHeight="false" outlineLevel="0" collapsed="false">
      <c r="A346" s="3" t="n">
        <v>338</v>
      </c>
      <c r="B346" s="8" t="n">
        <v>45875</v>
      </c>
      <c r="C346" s="8" t="n">
        <v>45876</v>
      </c>
      <c r="D346" s="3" t="s">
        <v>686</v>
      </c>
      <c r="E346" s="3" t="s">
        <v>687</v>
      </c>
      <c r="F346" s="9"/>
      <c r="G346" s="9" t="n">
        <v>1640970.55</v>
      </c>
      <c r="H346" s="9" t="n">
        <f aca="false">H345+G346-F346</f>
        <v>53296604.06</v>
      </c>
    </row>
    <row r="347" customFormat="false" ht="15" hidden="false" customHeight="false" outlineLevel="0" collapsed="false">
      <c r="A347" s="3" t="n">
        <v>339</v>
      </c>
      <c r="B347" s="8" t="n">
        <v>45875</v>
      </c>
      <c r="C347" s="8" t="n">
        <v>45875</v>
      </c>
      <c r="D347" s="3" t="s">
        <v>688</v>
      </c>
      <c r="E347" s="3" t="s">
        <v>192</v>
      </c>
      <c r="F347" s="9"/>
      <c r="G347" s="9" t="n">
        <v>826628.04</v>
      </c>
      <c r="H347" s="9" t="n">
        <f aca="false">H346+G347-F347</f>
        <v>54123232.1</v>
      </c>
    </row>
    <row r="348" customFormat="false" ht="15" hidden="false" customHeight="false" outlineLevel="0" collapsed="false">
      <c r="A348" s="3" t="n">
        <v>340</v>
      </c>
      <c r="B348" s="8" t="n">
        <v>45876</v>
      </c>
      <c r="C348" s="8" t="n">
        <v>45877</v>
      </c>
      <c r="D348" s="3" t="s">
        <v>689</v>
      </c>
      <c r="E348" s="3" t="s">
        <v>690</v>
      </c>
      <c r="F348" s="9"/>
      <c r="G348" s="9" t="n">
        <v>3915800</v>
      </c>
      <c r="H348" s="9" t="n">
        <f aca="false">H347+G348-F348</f>
        <v>58039032.1</v>
      </c>
    </row>
    <row r="349" customFormat="false" ht="15" hidden="false" customHeight="false" outlineLevel="0" collapsed="false">
      <c r="A349" s="3" t="n">
        <v>341</v>
      </c>
      <c r="B349" s="8" t="n">
        <v>45876</v>
      </c>
      <c r="C349" s="8" t="n">
        <v>45876</v>
      </c>
      <c r="D349" s="3" t="s">
        <v>691</v>
      </c>
      <c r="E349" s="3" t="s">
        <v>692</v>
      </c>
      <c r="F349" s="9" t="n">
        <v>1800000</v>
      </c>
      <c r="G349" s="9"/>
      <c r="H349" s="9" t="n">
        <f aca="false">H348+G349-F349</f>
        <v>56239032.1</v>
      </c>
    </row>
    <row r="350" customFormat="false" ht="15" hidden="false" customHeight="false" outlineLevel="0" collapsed="false">
      <c r="A350" s="3" t="n">
        <v>342</v>
      </c>
      <c r="B350" s="8" t="n">
        <v>45880</v>
      </c>
      <c r="C350" s="8" t="n">
        <v>45880</v>
      </c>
      <c r="D350" s="3" t="s">
        <v>693</v>
      </c>
      <c r="E350" s="3" t="s">
        <v>694</v>
      </c>
      <c r="F350" s="9"/>
      <c r="G350" s="9" t="n">
        <v>2433000</v>
      </c>
      <c r="H350" s="9" t="n">
        <f aca="false">H349+G350-F350</f>
        <v>58672032.1</v>
      </c>
    </row>
    <row r="351" customFormat="false" ht="15" hidden="false" customHeight="false" outlineLevel="0" collapsed="false">
      <c r="A351" s="3" t="n">
        <v>343</v>
      </c>
      <c r="B351" s="8" t="n">
        <v>45880</v>
      </c>
      <c r="C351" s="8" t="n">
        <v>45880</v>
      </c>
      <c r="D351" s="3" t="s">
        <v>695</v>
      </c>
      <c r="E351" s="3" t="s">
        <v>696</v>
      </c>
      <c r="F351" s="9"/>
      <c r="G351" s="9" t="n">
        <v>3115600</v>
      </c>
      <c r="H351" s="9" t="n">
        <f aca="false">H350+G351-F351</f>
        <v>61787632.1</v>
      </c>
    </row>
    <row r="352" customFormat="false" ht="15" hidden="false" customHeight="false" outlineLevel="0" collapsed="false">
      <c r="A352" s="3" t="n">
        <v>344</v>
      </c>
      <c r="B352" s="8" t="n">
        <v>45880</v>
      </c>
      <c r="C352" s="8" t="n">
        <v>45881</v>
      </c>
      <c r="D352" s="3" t="s">
        <v>697</v>
      </c>
      <c r="E352" s="3" t="s">
        <v>698</v>
      </c>
      <c r="F352" s="9"/>
      <c r="G352" s="9" t="n">
        <v>4884200</v>
      </c>
      <c r="H352" s="9" t="n">
        <f aca="false">H351+G352-F352</f>
        <v>66671832.1</v>
      </c>
    </row>
    <row r="353" customFormat="false" ht="15" hidden="false" customHeight="false" outlineLevel="0" collapsed="false">
      <c r="A353" s="3" t="n">
        <v>345</v>
      </c>
      <c r="B353" s="8" t="n">
        <v>45880</v>
      </c>
      <c r="C353" s="8" t="n">
        <v>45880</v>
      </c>
      <c r="D353" s="3" t="s">
        <v>699</v>
      </c>
      <c r="E353" s="3" t="s">
        <v>700</v>
      </c>
      <c r="F353" s="9"/>
      <c r="G353" s="9" t="n">
        <v>784367.46</v>
      </c>
      <c r="H353" s="9" t="n">
        <f aca="false">H352+G353-F353</f>
        <v>67456199.56</v>
      </c>
    </row>
    <row r="354" customFormat="false" ht="15" hidden="false" customHeight="false" outlineLevel="0" collapsed="false">
      <c r="A354" s="3" t="n">
        <v>346</v>
      </c>
      <c r="B354" s="8" t="n">
        <v>45880</v>
      </c>
      <c r="C354" s="8" t="n">
        <v>45880</v>
      </c>
      <c r="D354" s="3" t="s">
        <v>701</v>
      </c>
      <c r="E354" s="3" t="s">
        <v>702</v>
      </c>
      <c r="F354" s="9" t="n">
        <v>487060</v>
      </c>
      <c r="G354" s="9"/>
      <c r="H354" s="9" t="n">
        <f aca="false">H353+G354-F354</f>
        <v>66969139.56</v>
      </c>
    </row>
    <row r="355" customFormat="false" ht="15" hidden="false" customHeight="false" outlineLevel="0" collapsed="false">
      <c r="A355" s="3" t="n">
        <v>347</v>
      </c>
      <c r="B355" s="8" t="n">
        <v>45880</v>
      </c>
      <c r="C355" s="8" t="n">
        <v>45881</v>
      </c>
      <c r="D355" s="3" t="s">
        <v>703</v>
      </c>
      <c r="E355" s="3" t="s">
        <v>704</v>
      </c>
      <c r="F355" s="9" t="n">
        <v>273440.86</v>
      </c>
      <c r="G355" s="9"/>
      <c r="H355" s="9" t="n">
        <f aca="false">H354+G355-F355</f>
        <v>66695698.7</v>
      </c>
    </row>
    <row r="356" customFormat="false" ht="15" hidden="false" customHeight="false" outlineLevel="0" collapsed="false">
      <c r="A356" s="3" t="n">
        <v>348</v>
      </c>
      <c r="B356" s="8" t="n">
        <v>45880</v>
      </c>
      <c r="C356" s="8" t="n">
        <v>45880</v>
      </c>
      <c r="D356" s="3" t="s">
        <v>705</v>
      </c>
      <c r="E356" s="3" t="s">
        <v>706</v>
      </c>
      <c r="F356" s="9" t="n">
        <v>1057421.95</v>
      </c>
      <c r="G356" s="9"/>
      <c r="H356" s="9" t="n">
        <f aca="false">H355+G356-F356</f>
        <v>65638276.75</v>
      </c>
    </row>
    <row r="357" customFormat="false" ht="15" hidden="false" customHeight="false" outlineLevel="0" collapsed="false">
      <c r="A357" s="3" t="n">
        <v>349</v>
      </c>
      <c r="B357" s="8" t="n">
        <v>45881</v>
      </c>
      <c r="C357" s="8" t="n">
        <v>45882</v>
      </c>
      <c r="D357" s="3" t="s">
        <v>707</v>
      </c>
      <c r="E357" s="3" t="s">
        <v>708</v>
      </c>
      <c r="F357" s="9"/>
      <c r="G357" s="9" t="n">
        <v>2257100</v>
      </c>
      <c r="H357" s="9" t="n">
        <f aca="false">H356+G357-F357</f>
        <v>67895376.75</v>
      </c>
    </row>
    <row r="358" customFormat="false" ht="15" hidden="false" customHeight="false" outlineLevel="0" collapsed="false">
      <c r="A358" s="3" t="n">
        <v>350</v>
      </c>
      <c r="B358" s="8" t="n">
        <v>45881</v>
      </c>
      <c r="C358" s="8" t="n">
        <v>45882</v>
      </c>
      <c r="D358" s="3" t="s">
        <v>709</v>
      </c>
      <c r="E358" s="3" t="s">
        <v>710</v>
      </c>
      <c r="F358" s="9" t="n">
        <v>61927.5</v>
      </c>
      <c r="G358" s="9"/>
      <c r="H358" s="9" t="n">
        <f aca="false">H357+G358-F358</f>
        <v>67833449.25</v>
      </c>
    </row>
    <row r="359" customFormat="false" ht="15" hidden="false" customHeight="false" outlineLevel="0" collapsed="false">
      <c r="A359" s="3" t="n">
        <v>351</v>
      </c>
      <c r="B359" s="8" t="n">
        <v>45882</v>
      </c>
      <c r="C359" s="8" t="n">
        <v>45882</v>
      </c>
      <c r="D359" s="3" t="s">
        <v>711</v>
      </c>
      <c r="E359" s="3" t="s">
        <v>712</v>
      </c>
      <c r="F359" s="9"/>
      <c r="G359" s="9" t="n">
        <v>2001168.47</v>
      </c>
      <c r="H359" s="9" t="n">
        <f aca="false">H358+G359-F359</f>
        <v>69834617.72</v>
      </c>
    </row>
    <row r="360" customFormat="false" ht="15" hidden="false" customHeight="false" outlineLevel="0" collapsed="false">
      <c r="A360" s="3" t="n">
        <v>352</v>
      </c>
      <c r="B360" s="8" t="n">
        <v>45883</v>
      </c>
      <c r="C360" s="8" t="n">
        <v>45883</v>
      </c>
      <c r="D360" s="3" t="s">
        <v>713</v>
      </c>
      <c r="E360" s="3" t="s">
        <v>714</v>
      </c>
      <c r="F360" s="9" t="n">
        <v>197674.07</v>
      </c>
      <c r="G360" s="9"/>
      <c r="H360" s="9" t="n">
        <f aca="false">H359+G360-F360</f>
        <v>69636943.65</v>
      </c>
    </row>
    <row r="361" customFormat="false" ht="15" hidden="false" customHeight="false" outlineLevel="0" collapsed="false">
      <c r="A361" s="3" t="n">
        <v>353</v>
      </c>
      <c r="B361" s="8" t="n">
        <v>45883</v>
      </c>
      <c r="C361" s="8" t="n">
        <v>45883</v>
      </c>
      <c r="D361" s="3" t="s">
        <v>715</v>
      </c>
      <c r="E361" s="3" t="s">
        <v>716</v>
      </c>
      <c r="F361" s="9" t="n">
        <v>5400000</v>
      </c>
      <c r="G361" s="9"/>
      <c r="H361" s="9" t="n">
        <f aca="false">H360+G361-F361</f>
        <v>64236943.65</v>
      </c>
    </row>
    <row r="362" customFormat="false" ht="15" hidden="false" customHeight="false" outlineLevel="0" collapsed="false">
      <c r="A362" s="3" t="n">
        <v>354</v>
      </c>
      <c r="B362" s="8" t="n">
        <v>45884</v>
      </c>
      <c r="C362" s="8" t="n">
        <v>45885</v>
      </c>
      <c r="D362" s="3" t="s">
        <v>717</v>
      </c>
      <c r="E362" s="3" t="s">
        <v>718</v>
      </c>
      <c r="F362" s="9"/>
      <c r="G362" s="9" t="n">
        <v>1195611.06</v>
      </c>
      <c r="H362" s="9" t="n">
        <f aca="false">H361+G362-F362</f>
        <v>65432554.71</v>
      </c>
    </row>
    <row r="363" customFormat="false" ht="15" hidden="false" customHeight="false" outlineLevel="0" collapsed="false">
      <c r="A363" s="3" t="n">
        <v>355</v>
      </c>
      <c r="B363" s="8" t="n">
        <v>45884</v>
      </c>
      <c r="C363" s="8" t="n">
        <v>45885</v>
      </c>
      <c r="D363" s="3" t="s">
        <v>719</v>
      </c>
      <c r="E363" s="3" t="s">
        <v>720</v>
      </c>
      <c r="F363" s="9" t="n">
        <v>894600</v>
      </c>
      <c r="G363" s="9"/>
      <c r="H363" s="9" t="n">
        <f aca="false">H362+G363-F363</f>
        <v>64537954.71</v>
      </c>
    </row>
    <row r="364" customFormat="false" ht="15" hidden="false" customHeight="false" outlineLevel="0" collapsed="false">
      <c r="A364" s="3" t="n">
        <v>356</v>
      </c>
      <c r="B364" s="8" t="n">
        <v>45884</v>
      </c>
      <c r="C364" s="8" t="n">
        <v>45884</v>
      </c>
      <c r="D364" s="3" t="s">
        <v>721</v>
      </c>
      <c r="E364" s="3" t="s">
        <v>722</v>
      </c>
      <c r="F364" s="9" t="n">
        <v>351500</v>
      </c>
      <c r="G364" s="9"/>
      <c r="H364" s="9" t="n">
        <f aca="false">H363+G364-F364</f>
        <v>64186454.71</v>
      </c>
    </row>
    <row r="365" customFormat="false" ht="15" hidden="false" customHeight="false" outlineLevel="0" collapsed="false">
      <c r="A365" s="3" t="n">
        <v>357</v>
      </c>
      <c r="B365" s="8" t="n">
        <v>45887</v>
      </c>
      <c r="C365" s="8" t="n">
        <v>45888</v>
      </c>
      <c r="D365" s="3" t="s">
        <v>723</v>
      </c>
      <c r="E365" s="3" t="s">
        <v>724</v>
      </c>
      <c r="F365" s="9"/>
      <c r="G365" s="9" t="n">
        <v>3375700</v>
      </c>
      <c r="H365" s="9" t="n">
        <f aca="false">H364+G365-F365</f>
        <v>67562154.71</v>
      </c>
    </row>
    <row r="366" customFormat="false" ht="15" hidden="false" customHeight="false" outlineLevel="0" collapsed="false">
      <c r="A366" s="3" t="n">
        <v>358</v>
      </c>
      <c r="B366" s="8" t="n">
        <v>45887</v>
      </c>
      <c r="C366" s="8" t="n">
        <v>45887</v>
      </c>
      <c r="D366" s="3" t="s">
        <v>725</v>
      </c>
      <c r="E366" s="3" t="s">
        <v>726</v>
      </c>
      <c r="F366" s="9" t="n">
        <v>2846100</v>
      </c>
      <c r="G366" s="9"/>
      <c r="H366" s="9" t="n">
        <f aca="false">H365+G366-F366</f>
        <v>64716054.71</v>
      </c>
    </row>
    <row r="367" customFormat="false" ht="15" hidden="false" customHeight="false" outlineLevel="0" collapsed="false">
      <c r="A367" s="3" t="n">
        <v>359</v>
      </c>
      <c r="B367" s="8" t="n">
        <v>45887</v>
      </c>
      <c r="C367" s="8" t="n">
        <v>45887</v>
      </c>
      <c r="D367" s="3" t="s">
        <v>727</v>
      </c>
      <c r="E367" s="3" t="s">
        <v>728</v>
      </c>
      <c r="F367" s="9" t="n">
        <v>219314.57</v>
      </c>
      <c r="G367" s="9"/>
      <c r="H367" s="9" t="n">
        <f aca="false">H366+G367-F367</f>
        <v>64496740.14</v>
      </c>
    </row>
    <row r="368" customFormat="false" ht="15" hidden="false" customHeight="false" outlineLevel="0" collapsed="false">
      <c r="A368" s="3" t="n">
        <v>360</v>
      </c>
      <c r="B368" s="8" t="n">
        <v>45887</v>
      </c>
      <c r="C368" s="8" t="n">
        <v>45887</v>
      </c>
      <c r="D368" s="3" t="s">
        <v>729</v>
      </c>
      <c r="E368" s="3" t="s">
        <v>730</v>
      </c>
      <c r="F368" s="9" t="n">
        <v>182869.39</v>
      </c>
      <c r="G368" s="9"/>
      <c r="H368" s="9" t="n">
        <f aca="false">H367+G368-F368</f>
        <v>64313870.75</v>
      </c>
    </row>
    <row r="369" customFormat="false" ht="15" hidden="false" customHeight="false" outlineLevel="0" collapsed="false">
      <c r="A369" s="3" t="n">
        <v>361</v>
      </c>
      <c r="B369" s="8" t="n">
        <v>45887</v>
      </c>
      <c r="C369" s="8" t="n">
        <v>45887</v>
      </c>
      <c r="D369" s="3" t="s">
        <v>731</v>
      </c>
      <c r="E369" s="3" t="s">
        <v>732</v>
      </c>
      <c r="F369" s="9" t="n">
        <v>187300</v>
      </c>
      <c r="G369" s="9"/>
      <c r="H369" s="9" t="n">
        <f aca="false">H368+G369-F369</f>
        <v>64126570.75</v>
      </c>
    </row>
    <row r="370" customFormat="false" ht="15" hidden="false" customHeight="false" outlineLevel="0" collapsed="false">
      <c r="A370" s="3" t="n">
        <v>362</v>
      </c>
      <c r="B370" s="8" t="n">
        <v>45887</v>
      </c>
      <c r="C370" s="8" t="n">
        <v>45887</v>
      </c>
      <c r="D370" s="3" t="s">
        <v>733</v>
      </c>
      <c r="E370" s="3" t="s">
        <v>734</v>
      </c>
      <c r="F370" s="9"/>
      <c r="G370" s="9" t="n">
        <v>2100000</v>
      </c>
      <c r="H370" s="9" t="n">
        <f aca="false">H369+G370-F370</f>
        <v>66226570.75</v>
      </c>
    </row>
    <row r="371" customFormat="false" ht="15" hidden="false" customHeight="false" outlineLevel="0" collapsed="false">
      <c r="A371" s="3" t="n">
        <v>363</v>
      </c>
      <c r="B371" s="8" t="n">
        <v>45888</v>
      </c>
      <c r="C371" s="8" t="n">
        <v>45888</v>
      </c>
      <c r="D371" s="3" t="s">
        <v>735</v>
      </c>
      <c r="E371" s="3" t="s">
        <v>736</v>
      </c>
      <c r="F371" s="9"/>
      <c r="G371" s="9" t="n">
        <v>2011800</v>
      </c>
      <c r="H371" s="9" t="n">
        <f aca="false">H370+G371-F371</f>
        <v>68238370.75</v>
      </c>
    </row>
    <row r="372" customFormat="false" ht="15" hidden="false" customHeight="false" outlineLevel="0" collapsed="false">
      <c r="A372" s="3" t="n">
        <v>364</v>
      </c>
      <c r="B372" s="8" t="n">
        <v>45889</v>
      </c>
      <c r="C372" s="8" t="n">
        <v>45889</v>
      </c>
      <c r="D372" s="3" t="s">
        <v>737</v>
      </c>
      <c r="E372" s="3" t="s">
        <v>738</v>
      </c>
      <c r="F372" s="9"/>
      <c r="G372" s="9" t="n">
        <v>1181972.94</v>
      </c>
      <c r="H372" s="9" t="n">
        <f aca="false">H371+G372-F372</f>
        <v>69420343.69</v>
      </c>
    </row>
    <row r="373" customFormat="false" ht="15" hidden="false" customHeight="false" outlineLevel="0" collapsed="false">
      <c r="A373" s="3" t="n">
        <v>365</v>
      </c>
      <c r="B373" s="8" t="n">
        <v>45890</v>
      </c>
      <c r="C373" s="8" t="n">
        <v>45890</v>
      </c>
      <c r="D373" s="3" t="s">
        <v>739</v>
      </c>
      <c r="E373" s="3" t="s">
        <v>740</v>
      </c>
      <c r="F373" s="9" t="n">
        <v>1984900</v>
      </c>
      <c r="G373" s="9"/>
      <c r="H373" s="9" t="n">
        <f aca="false">H372+G373-F373</f>
        <v>67435443.69</v>
      </c>
    </row>
    <row r="374" customFormat="false" ht="15" hidden="false" customHeight="false" outlineLevel="0" collapsed="false">
      <c r="A374" s="3" t="n">
        <v>366</v>
      </c>
      <c r="B374" s="8" t="n">
        <v>45890</v>
      </c>
      <c r="C374" s="8" t="n">
        <v>45890</v>
      </c>
      <c r="D374" s="3" t="s">
        <v>741</v>
      </c>
      <c r="E374" s="3" t="s">
        <v>742</v>
      </c>
      <c r="F374" s="9" t="n">
        <v>1520778.82</v>
      </c>
      <c r="G374" s="9"/>
      <c r="H374" s="9" t="n">
        <f aca="false">H373+G374-F374</f>
        <v>65914664.87</v>
      </c>
    </row>
    <row r="375" customFormat="false" ht="15" hidden="false" customHeight="false" outlineLevel="0" collapsed="false">
      <c r="A375" s="3" t="n">
        <v>367</v>
      </c>
      <c r="B375" s="8" t="n">
        <v>45890</v>
      </c>
      <c r="C375" s="8" t="n">
        <v>45890</v>
      </c>
      <c r="D375" s="3" t="s">
        <v>743</v>
      </c>
      <c r="E375" s="3" t="s">
        <v>744</v>
      </c>
      <c r="F375" s="9" t="n">
        <v>185304.71</v>
      </c>
      <c r="G375" s="9"/>
      <c r="H375" s="9" t="n">
        <f aca="false">H374+G375-F375</f>
        <v>65729360.16</v>
      </c>
    </row>
    <row r="376" customFormat="false" ht="15" hidden="false" customHeight="false" outlineLevel="0" collapsed="false">
      <c r="A376" s="3" t="n">
        <v>368</v>
      </c>
      <c r="B376" s="8" t="n">
        <v>45890</v>
      </c>
      <c r="C376" s="8" t="n">
        <v>45891</v>
      </c>
      <c r="D376" s="3" t="s">
        <v>745</v>
      </c>
      <c r="E376" s="3" t="s">
        <v>746</v>
      </c>
      <c r="F376" s="9" t="n">
        <v>236246.46</v>
      </c>
      <c r="G376" s="9"/>
      <c r="H376" s="9" t="n">
        <f aca="false">H375+G376-F376</f>
        <v>65493113.7</v>
      </c>
    </row>
    <row r="377" customFormat="false" ht="15" hidden="false" customHeight="false" outlineLevel="0" collapsed="false">
      <c r="A377" s="3" t="n">
        <v>369</v>
      </c>
      <c r="B377" s="8" t="n">
        <v>45890</v>
      </c>
      <c r="C377" s="8" t="n">
        <v>45890</v>
      </c>
      <c r="D377" s="3" t="s">
        <v>747</v>
      </c>
      <c r="E377" s="3" t="s">
        <v>748</v>
      </c>
      <c r="F377" s="9" t="n">
        <v>575000</v>
      </c>
      <c r="G377" s="9"/>
      <c r="H377" s="9" t="n">
        <f aca="false">H376+G377-F377</f>
        <v>64918113.7</v>
      </c>
    </row>
    <row r="378" customFormat="false" ht="15" hidden="false" customHeight="false" outlineLevel="0" collapsed="false">
      <c r="A378" s="3" t="n">
        <v>370</v>
      </c>
      <c r="B378" s="8" t="n">
        <v>45891</v>
      </c>
      <c r="C378" s="8" t="n">
        <v>45891</v>
      </c>
      <c r="D378" s="3" t="s">
        <v>749</v>
      </c>
      <c r="E378" s="3" t="s">
        <v>750</v>
      </c>
      <c r="F378" s="9"/>
      <c r="G378" s="9" t="n">
        <v>793147.03</v>
      </c>
      <c r="H378" s="9" t="n">
        <f aca="false">H377+G378-F378</f>
        <v>65711260.73</v>
      </c>
    </row>
    <row r="379" customFormat="false" ht="15" hidden="false" customHeight="false" outlineLevel="0" collapsed="false">
      <c r="A379" s="3" t="n">
        <v>371</v>
      </c>
      <c r="B379" s="8" t="n">
        <v>45891</v>
      </c>
      <c r="C379" s="8" t="n">
        <v>45891</v>
      </c>
      <c r="D379" s="3" t="s">
        <v>751</v>
      </c>
      <c r="E379" s="3" t="s">
        <v>752</v>
      </c>
      <c r="F379" s="9" t="n">
        <v>207947.11</v>
      </c>
      <c r="G379" s="9"/>
      <c r="H379" s="9" t="n">
        <f aca="false">H378+G379-F379</f>
        <v>65503313.62</v>
      </c>
    </row>
    <row r="380" customFormat="false" ht="15" hidden="false" customHeight="false" outlineLevel="0" collapsed="false">
      <c r="A380" s="3" t="n">
        <v>372</v>
      </c>
      <c r="B380" s="8" t="n">
        <v>45891</v>
      </c>
      <c r="C380" s="8" t="n">
        <v>45891</v>
      </c>
      <c r="D380" s="3" t="s">
        <v>753</v>
      </c>
      <c r="E380" s="3" t="s">
        <v>754</v>
      </c>
      <c r="F380" s="9" t="n">
        <v>2100000</v>
      </c>
      <c r="G380" s="9"/>
      <c r="H380" s="9" t="n">
        <f aca="false">H379+G380-F380</f>
        <v>63403313.62</v>
      </c>
    </row>
    <row r="381" customFormat="false" ht="15" hidden="false" customHeight="false" outlineLevel="0" collapsed="false">
      <c r="A381" s="3" t="n">
        <v>373</v>
      </c>
      <c r="B381" s="8" t="n">
        <v>45891</v>
      </c>
      <c r="C381" s="8" t="n">
        <v>45891</v>
      </c>
      <c r="D381" s="3" t="s">
        <v>755</v>
      </c>
      <c r="E381" s="3" t="s">
        <v>756</v>
      </c>
      <c r="F381" s="9" t="n">
        <v>5375</v>
      </c>
      <c r="G381" s="9"/>
      <c r="H381" s="9" t="n">
        <f aca="false">H380+G381-F381</f>
        <v>63397938.62</v>
      </c>
    </row>
    <row r="382" customFormat="false" ht="15" hidden="false" customHeight="false" outlineLevel="0" collapsed="false">
      <c r="A382" s="3" t="n">
        <v>374</v>
      </c>
      <c r="B382" s="8" t="n">
        <v>45894</v>
      </c>
      <c r="C382" s="8" t="n">
        <v>45894</v>
      </c>
      <c r="D382" s="3" t="s">
        <v>757</v>
      </c>
      <c r="E382" s="3" t="s">
        <v>758</v>
      </c>
      <c r="F382" s="9"/>
      <c r="G382" s="9" t="n">
        <v>731033.99</v>
      </c>
      <c r="H382" s="9" t="n">
        <f aca="false">H381+G382-F382</f>
        <v>64128972.61</v>
      </c>
    </row>
    <row r="383" customFormat="false" ht="15" hidden="false" customHeight="false" outlineLevel="0" collapsed="false">
      <c r="A383" s="3" t="n">
        <v>375</v>
      </c>
      <c r="B383" s="8" t="n">
        <v>45894</v>
      </c>
      <c r="C383" s="8" t="n">
        <v>45894</v>
      </c>
      <c r="D383" s="3" t="s">
        <v>759</v>
      </c>
      <c r="E383" s="3" t="s">
        <v>760</v>
      </c>
      <c r="F383" s="9" t="n">
        <v>312300</v>
      </c>
      <c r="G383" s="9"/>
      <c r="H383" s="9" t="n">
        <f aca="false">H382+G383-F383</f>
        <v>63816672.61</v>
      </c>
    </row>
    <row r="384" customFormat="false" ht="15" hidden="false" customHeight="false" outlineLevel="0" collapsed="false">
      <c r="A384" s="3" t="n">
        <v>376</v>
      </c>
      <c r="B384" s="8" t="n">
        <v>45896</v>
      </c>
      <c r="C384" s="8" t="n">
        <v>45896</v>
      </c>
      <c r="D384" s="3" t="s">
        <v>761</v>
      </c>
      <c r="E384" s="3" t="s">
        <v>762</v>
      </c>
      <c r="F384" s="9"/>
      <c r="G384" s="9" t="n">
        <v>1124304.87</v>
      </c>
      <c r="H384" s="9" t="n">
        <f aca="false">H383+G384-F384</f>
        <v>64940977.48</v>
      </c>
    </row>
    <row r="385" customFormat="false" ht="15" hidden="false" customHeight="false" outlineLevel="0" collapsed="false">
      <c r="A385" s="3" t="n">
        <v>377</v>
      </c>
      <c r="B385" s="8" t="n">
        <v>45896</v>
      </c>
      <c r="C385" s="8" t="n">
        <v>45896</v>
      </c>
      <c r="D385" s="3" t="s">
        <v>763</v>
      </c>
      <c r="E385" s="3" t="s">
        <v>764</v>
      </c>
      <c r="F385" s="9" t="n">
        <v>4085300</v>
      </c>
      <c r="G385" s="9"/>
      <c r="H385" s="9" t="n">
        <f aca="false">H384+G385-F385</f>
        <v>60855677.48</v>
      </c>
    </row>
    <row r="386" customFormat="false" ht="15" hidden="false" customHeight="false" outlineLevel="0" collapsed="false">
      <c r="A386" s="3" t="n">
        <v>378</v>
      </c>
      <c r="B386" s="8" t="n">
        <v>45896</v>
      </c>
      <c r="C386" s="8" t="n">
        <v>45896</v>
      </c>
      <c r="D386" s="3" t="s">
        <v>765</v>
      </c>
      <c r="E386" s="3" t="s">
        <v>766</v>
      </c>
      <c r="F386" s="9" t="n">
        <v>1350000</v>
      </c>
      <c r="G386" s="9"/>
      <c r="H386" s="9" t="n">
        <f aca="false">H385+G386-F386</f>
        <v>59505677.48</v>
      </c>
    </row>
    <row r="387" customFormat="false" ht="15" hidden="false" customHeight="false" outlineLevel="0" collapsed="false">
      <c r="A387" s="3" t="n">
        <v>379</v>
      </c>
      <c r="B387" s="8" t="n">
        <v>45898</v>
      </c>
      <c r="C387" s="8" t="n">
        <v>45898</v>
      </c>
      <c r="D387" s="3" t="s">
        <v>767</v>
      </c>
      <c r="E387" s="3" t="s">
        <v>768</v>
      </c>
      <c r="F387" s="9" t="n">
        <v>4500</v>
      </c>
      <c r="G387" s="9"/>
      <c r="H387" s="9" t="n">
        <f aca="false">H386+G387-F387</f>
        <v>59501177.48</v>
      </c>
    </row>
    <row r="388" customFormat="false" ht="15" hidden="false" customHeight="false" outlineLevel="0" collapsed="false">
      <c r="A388" s="3" t="n">
        <v>380</v>
      </c>
      <c r="B388" s="8" t="n">
        <v>45898</v>
      </c>
      <c r="C388" s="8" t="n">
        <v>45898</v>
      </c>
      <c r="D388" s="3" t="s">
        <v>769</v>
      </c>
      <c r="E388" s="3" t="s">
        <v>136</v>
      </c>
      <c r="F388" s="9" t="n">
        <v>4644.53</v>
      </c>
      <c r="G388" s="9"/>
      <c r="H388" s="9" t="n">
        <f aca="false">H387+G388-F388</f>
        <v>59496532.95</v>
      </c>
    </row>
    <row r="389" customFormat="false" ht="15" hidden="false" customHeight="false" outlineLevel="0" collapsed="false">
      <c r="A389" s="3" t="n">
        <v>381</v>
      </c>
      <c r="B389" s="8" t="n">
        <v>45898</v>
      </c>
      <c r="C389" s="8" t="n">
        <v>45898</v>
      </c>
      <c r="D389" s="3" t="s">
        <v>770</v>
      </c>
      <c r="E389" s="3" t="s">
        <v>320</v>
      </c>
      <c r="F389" s="9" t="n">
        <v>350</v>
      </c>
      <c r="G389" s="9"/>
      <c r="H389" s="9" t="n">
        <f aca="false">H388+G389-F389</f>
        <v>59496182.95</v>
      </c>
    </row>
    <row r="390" customFormat="false" ht="15" hidden="false" customHeight="false" outlineLevel="0" collapsed="false">
      <c r="A390" s="3" t="n">
        <v>382</v>
      </c>
      <c r="B390" s="8" t="n">
        <v>45898</v>
      </c>
      <c r="C390" s="8" t="n">
        <v>45899</v>
      </c>
      <c r="D390" s="3" t="s">
        <v>771</v>
      </c>
      <c r="E390" s="3" t="s">
        <v>140</v>
      </c>
      <c r="F390" s="9" t="n">
        <v>712.09</v>
      </c>
      <c r="G390" s="9"/>
      <c r="H390" s="9" t="n">
        <f aca="false">H389+G390-F390</f>
        <v>59495470.86</v>
      </c>
    </row>
    <row r="391" customFormat="false" ht="15" hidden="false" customHeight="false" outlineLevel="0" collapsed="false">
      <c r="A391" s="3" t="n">
        <v>383</v>
      </c>
      <c r="B391" s="8" t="n">
        <v>45898</v>
      </c>
      <c r="C391" s="8" t="n">
        <v>45898</v>
      </c>
      <c r="D391" s="3" t="s">
        <v>772</v>
      </c>
      <c r="E391" s="3" t="s">
        <v>227</v>
      </c>
      <c r="F391" s="9" t="n">
        <v>900</v>
      </c>
      <c r="G391" s="9"/>
      <c r="H391" s="9" t="n">
        <f aca="false">H390+G391-F391</f>
        <v>59494570.86</v>
      </c>
    </row>
    <row r="392" customFormat="false" ht="15" hidden="false" customHeight="false" outlineLevel="0" collapsed="false">
      <c r="A392" s="3" t="n">
        <v>384</v>
      </c>
      <c r="B392" s="8" t="n">
        <v>45904</v>
      </c>
      <c r="C392" s="8" t="n">
        <v>45905</v>
      </c>
      <c r="D392" s="3" t="s">
        <v>773</v>
      </c>
      <c r="E392" s="3" t="s">
        <v>774</v>
      </c>
      <c r="F392" s="9"/>
      <c r="G392" s="9" t="n">
        <v>3300000</v>
      </c>
      <c r="H392" s="9" t="n">
        <f aca="false">H391+G392-F392</f>
        <v>62794570.86</v>
      </c>
    </row>
    <row r="393" customFormat="false" ht="15" hidden="false" customHeight="false" outlineLevel="0" collapsed="false">
      <c r="A393" s="3" t="n">
        <v>385</v>
      </c>
      <c r="B393" s="8" t="n">
        <v>45905</v>
      </c>
      <c r="C393" s="8" t="n">
        <v>45905</v>
      </c>
      <c r="D393" s="3" t="s">
        <v>775</v>
      </c>
      <c r="E393" s="3" t="s">
        <v>776</v>
      </c>
      <c r="F393" s="9"/>
      <c r="G393" s="9" t="n">
        <v>3466700</v>
      </c>
      <c r="H393" s="9" t="n">
        <f aca="false">H392+G393-F393</f>
        <v>66261270.86</v>
      </c>
    </row>
    <row r="394" customFormat="false" ht="15" hidden="false" customHeight="false" outlineLevel="0" collapsed="false">
      <c r="A394" s="3" t="n">
        <v>386</v>
      </c>
      <c r="B394" s="8" t="n">
        <v>45905</v>
      </c>
      <c r="C394" s="8" t="n">
        <v>45905</v>
      </c>
      <c r="D394" s="3" t="s">
        <v>777</v>
      </c>
      <c r="E394" s="3" t="s">
        <v>778</v>
      </c>
      <c r="F394" s="9" t="n">
        <v>85000</v>
      </c>
      <c r="G394" s="9"/>
      <c r="H394" s="9" t="n">
        <f aca="false">H393+G394-F394</f>
        <v>66176270.86</v>
      </c>
    </row>
    <row r="395" customFormat="false" ht="15" hidden="false" customHeight="false" outlineLevel="0" collapsed="false">
      <c r="A395" s="3" t="n">
        <v>387</v>
      </c>
      <c r="B395" s="8" t="n">
        <v>45905</v>
      </c>
      <c r="C395" s="8" t="n">
        <v>45905</v>
      </c>
      <c r="D395" s="3" t="s">
        <v>779</v>
      </c>
      <c r="E395" s="3" t="s">
        <v>780</v>
      </c>
      <c r="F395" s="9" t="n">
        <v>255759.9</v>
      </c>
      <c r="G395" s="9"/>
      <c r="H395" s="9" t="n">
        <f aca="false">H394+G395-F395</f>
        <v>65920510.96</v>
      </c>
    </row>
    <row r="396" customFormat="false" ht="15" hidden="false" customHeight="false" outlineLevel="0" collapsed="false">
      <c r="A396" s="3" t="n">
        <v>388</v>
      </c>
      <c r="B396" s="8" t="n">
        <v>45908</v>
      </c>
      <c r="C396" s="8" t="n">
        <v>45908</v>
      </c>
      <c r="D396" s="3" t="s">
        <v>781</v>
      </c>
      <c r="E396" s="3" t="s">
        <v>782</v>
      </c>
      <c r="F396" s="9"/>
      <c r="G396" s="9" t="n">
        <v>1774049.93</v>
      </c>
      <c r="H396" s="9" t="n">
        <f aca="false">H395+G396-F396</f>
        <v>67694560.89</v>
      </c>
    </row>
    <row r="397" customFormat="false" ht="15" hidden="false" customHeight="false" outlineLevel="0" collapsed="false">
      <c r="A397" s="3" t="n">
        <v>389</v>
      </c>
      <c r="B397" s="8" t="n">
        <v>45908</v>
      </c>
      <c r="C397" s="8" t="n">
        <v>45908</v>
      </c>
      <c r="D397" s="3" t="s">
        <v>783</v>
      </c>
      <c r="E397" s="3" t="s">
        <v>192</v>
      </c>
      <c r="F397" s="9"/>
      <c r="G397" s="9" t="n">
        <v>1489824.69</v>
      </c>
      <c r="H397" s="9" t="n">
        <f aca="false">H396+G397-F397</f>
        <v>69184385.58</v>
      </c>
    </row>
    <row r="398" customFormat="false" ht="15" hidden="false" customHeight="false" outlineLevel="0" collapsed="false">
      <c r="A398" s="3" t="n">
        <v>390</v>
      </c>
      <c r="B398" s="8" t="n">
        <v>45908</v>
      </c>
      <c r="C398" s="8" t="n">
        <v>45908</v>
      </c>
      <c r="D398" s="3" t="s">
        <v>784</v>
      </c>
      <c r="E398" s="3" t="s">
        <v>785</v>
      </c>
      <c r="F398" s="9" t="n">
        <v>1812800</v>
      </c>
      <c r="G398" s="9"/>
      <c r="H398" s="9" t="n">
        <f aca="false">H397+G398-F398</f>
        <v>67371585.58</v>
      </c>
    </row>
    <row r="399" customFormat="false" ht="15" hidden="false" customHeight="false" outlineLevel="0" collapsed="false">
      <c r="A399" s="3" t="n">
        <v>391</v>
      </c>
      <c r="B399" s="8" t="n">
        <v>45908</v>
      </c>
      <c r="C399" s="8" t="n">
        <v>45908</v>
      </c>
      <c r="D399" s="3" t="s">
        <v>786</v>
      </c>
      <c r="E399" s="3" t="s">
        <v>787</v>
      </c>
      <c r="F399" s="9" t="n">
        <v>2837000</v>
      </c>
      <c r="G399" s="9"/>
      <c r="H399" s="9" t="n">
        <f aca="false">H398+G399-F399</f>
        <v>64534585.58</v>
      </c>
    </row>
    <row r="400" customFormat="false" ht="15" hidden="false" customHeight="false" outlineLevel="0" collapsed="false">
      <c r="A400" s="3" t="n">
        <v>392</v>
      </c>
      <c r="B400" s="8" t="n">
        <v>45908</v>
      </c>
      <c r="C400" s="8" t="n">
        <v>45908</v>
      </c>
      <c r="D400" s="3" t="s">
        <v>788</v>
      </c>
      <c r="E400" s="3" t="s">
        <v>789</v>
      </c>
      <c r="F400" s="9" t="n">
        <v>382600</v>
      </c>
      <c r="G400" s="9"/>
      <c r="H400" s="9" t="n">
        <f aca="false">H399+G400-F400</f>
        <v>64151985.58</v>
      </c>
    </row>
    <row r="401" customFormat="false" ht="15" hidden="false" customHeight="false" outlineLevel="0" collapsed="false">
      <c r="A401" s="3" t="n">
        <v>393</v>
      </c>
      <c r="B401" s="8" t="n">
        <v>45909</v>
      </c>
      <c r="C401" s="8" t="n">
        <v>45909</v>
      </c>
      <c r="D401" s="3" t="s">
        <v>790</v>
      </c>
      <c r="E401" s="3" t="s">
        <v>791</v>
      </c>
      <c r="F401" s="9"/>
      <c r="G401" s="9" t="n">
        <v>1097829.13</v>
      </c>
      <c r="H401" s="9" t="n">
        <f aca="false">H400+G401-F401</f>
        <v>65249814.71</v>
      </c>
    </row>
    <row r="402" customFormat="false" ht="15" hidden="false" customHeight="false" outlineLevel="0" collapsed="false">
      <c r="A402" s="3" t="n">
        <v>394</v>
      </c>
      <c r="B402" s="8" t="n">
        <v>45909</v>
      </c>
      <c r="C402" s="8" t="n">
        <v>45909</v>
      </c>
      <c r="D402" s="3" t="s">
        <v>792</v>
      </c>
      <c r="E402" s="3" t="s">
        <v>793</v>
      </c>
      <c r="F402" s="9"/>
      <c r="G402" s="9" t="n">
        <v>3000000</v>
      </c>
      <c r="H402" s="9" t="n">
        <f aca="false">H401+G402-F402</f>
        <v>68249814.71</v>
      </c>
    </row>
    <row r="403" customFormat="false" ht="15" hidden="false" customHeight="false" outlineLevel="0" collapsed="false">
      <c r="A403" s="3" t="n">
        <v>395</v>
      </c>
      <c r="B403" s="8" t="n">
        <v>45910</v>
      </c>
      <c r="C403" s="8" t="n">
        <v>45910</v>
      </c>
      <c r="D403" s="3" t="s">
        <v>794</v>
      </c>
      <c r="E403" s="3" t="s">
        <v>795</v>
      </c>
      <c r="F403" s="9" t="n">
        <v>487060</v>
      </c>
      <c r="G403" s="9"/>
      <c r="H403" s="9" t="n">
        <f aca="false">H402+G403-F403</f>
        <v>67762754.71</v>
      </c>
    </row>
    <row r="404" customFormat="false" ht="15" hidden="false" customHeight="false" outlineLevel="0" collapsed="false">
      <c r="A404" s="3" t="n">
        <v>396</v>
      </c>
      <c r="B404" s="8" t="n">
        <v>45910</v>
      </c>
      <c r="C404" s="8" t="n">
        <v>45911</v>
      </c>
      <c r="D404" s="3" t="s">
        <v>796</v>
      </c>
      <c r="E404" s="3" t="s">
        <v>797</v>
      </c>
      <c r="F404" s="9" t="n">
        <v>1057421.95</v>
      </c>
      <c r="G404" s="9"/>
      <c r="H404" s="9" t="n">
        <f aca="false">H403+G404-F404</f>
        <v>66705332.76</v>
      </c>
    </row>
    <row r="405" customFormat="false" ht="15" hidden="false" customHeight="false" outlineLevel="0" collapsed="false">
      <c r="A405" s="3" t="n">
        <v>397</v>
      </c>
      <c r="B405" s="8" t="n">
        <v>45911</v>
      </c>
      <c r="C405" s="8" t="n">
        <v>45911</v>
      </c>
      <c r="D405" s="3" t="s">
        <v>798</v>
      </c>
      <c r="E405" s="3" t="s">
        <v>799</v>
      </c>
      <c r="F405" s="9"/>
      <c r="G405" s="9" t="n">
        <v>2628700</v>
      </c>
      <c r="H405" s="9" t="n">
        <f aca="false">H404+G405-F405</f>
        <v>69334032.76</v>
      </c>
    </row>
    <row r="406" customFormat="false" ht="15" hidden="false" customHeight="false" outlineLevel="0" collapsed="false">
      <c r="A406" s="3" t="n">
        <v>398</v>
      </c>
      <c r="B406" s="8" t="n">
        <v>45911</v>
      </c>
      <c r="C406" s="8" t="n">
        <v>45911</v>
      </c>
      <c r="D406" s="3" t="s">
        <v>800</v>
      </c>
      <c r="E406" s="3" t="s">
        <v>801</v>
      </c>
      <c r="F406" s="9"/>
      <c r="G406" s="9" t="n">
        <v>1384363.36</v>
      </c>
      <c r="H406" s="9" t="n">
        <f aca="false">H405+G406-F406</f>
        <v>70718396.12</v>
      </c>
    </row>
    <row r="407" customFormat="false" ht="15" hidden="false" customHeight="false" outlineLevel="0" collapsed="false">
      <c r="A407" s="3" t="n">
        <v>399</v>
      </c>
      <c r="B407" s="8" t="n">
        <v>45912</v>
      </c>
      <c r="C407" s="8" t="n">
        <v>45912</v>
      </c>
      <c r="D407" s="3" t="s">
        <v>802</v>
      </c>
      <c r="E407" s="3" t="s">
        <v>803</v>
      </c>
      <c r="F407" s="9"/>
      <c r="G407" s="9" t="n">
        <v>1541400</v>
      </c>
      <c r="H407" s="9" t="n">
        <f aca="false">H406+G407-F407</f>
        <v>72259796.12</v>
      </c>
    </row>
    <row r="408" customFormat="false" ht="15" hidden="false" customHeight="false" outlineLevel="0" collapsed="false">
      <c r="A408" s="3" t="n">
        <v>400</v>
      </c>
      <c r="B408" s="8" t="n">
        <v>45912</v>
      </c>
      <c r="C408" s="8" t="n">
        <v>45912</v>
      </c>
      <c r="D408" s="3" t="s">
        <v>804</v>
      </c>
      <c r="E408" s="3" t="s">
        <v>805</v>
      </c>
      <c r="F408" s="9"/>
      <c r="G408" s="9" t="n">
        <v>4181300</v>
      </c>
      <c r="H408" s="9" t="n">
        <f aca="false">H407+G408-F408</f>
        <v>76441096.12</v>
      </c>
    </row>
    <row r="409" customFormat="false" ht="15" hidden="false" customHeight="false" outlineLevel="0" collapsed="false">
      <c r="A409" s="3" t="n">
        <v>401</v>
      </c>
      <c r="B409" s="8" t="n">
        <v>45912</v>
      </c>
      <c r="C409" s="8" t="n">
        <v>45913</v>
      </c>
      <c r="D409" s="3" t="s">
        <v>806</v>
      </c>
      <c r="E409" s="3" t="s">
        <v>807</v>
      </c>
      <c r="F409" s="9" t="n">
        <v>2167600</v>
      </c>
      <c r="G409" s="9"/>
      <c r="H409" s="9" t="n">
        <f aca="false">H408+G409-F409</f>
        <v>74273496.12</v>
      </c>
    </row>
    <row r="410" customFormat="false" ht="15" hidden="false" customHeight="false" outlineLevel="0" collapsed="false">
      <c r="A410" s="3" t="n">
        <v>402</v>
      </c>
      <c r="B410" s="8" t="n">
        <v>45912</v>
      </c>
      <c r="C410" s="8" t="n">
        <v>45912</v>
      </c>
      <c r="D410" s="3" t="s">
        <v>808</v>
      </c>
      <c r="E410" s="3" t="s">
        <v>809</v>
      </c>
      <c r="F410" s="9" t="n">
        <v>148012.55</v>
      </c>
      <c r="G410" s="9"/>
      <c r="H410" s="9" t="n">
        <f aca="false">H409+G410-F410</f>
        <v>74125483.57</v>
      </c>
    </row>
    <row r="411" customFormat="false" ht="15" hidden="false" customHeight="false" outlineLevel="0" collapsed="false">
      <c r="A411" s="3" t="n">
        <v>403</v>
      </c>
      <c r="B411" s="8" t="n">
        <v>45915</v>
      </c>
      <c r="C411" s="8" t="n">
        <v>45915</v>
      </c>
      <c r="D411" s="3" t="s">
        <v>810</v>
      </c>
      <c r="E411" s="3" t="s">
        <v>811</v>
      </c>
      <c r="F411" s="9"/>
      <c r="G411" s="9" t="n">
        <v>3820500</v>
      </c>
      <c r="H411" s="9" t="n">
        <f aca="false">H410+G411-F411</f>
        <v>77945983.57</v>
      </c>
    </row>
    <row r="412" customFormat="false" ht="15" hidden="false" customHeight="false" outlineLevel="0" collapsed="false">
      <c r="A412" s="3" t="n">
        <v>404</v>
      </c>
      <c r="B412" s="8" t="n">
        <v>45915</v>
      </c>
      <c r="C412" s="8" t="n">
        <v>45915</v>
      </c>
      <c r="D412" s="3" t="s">
        <v>812</v>
      </c>
      <c r="E412" s="3" t="s">
        <v>813</v>
      </c>
      <c r="F412" s="9"/>
      <c r="G412" s="9" t="n">
        <v>4722000</v>
      </c>
      <c r="H412" s="9" t="n">
        <f aca="false">H411+G412-F412</f>
        <v>82667983.57</v>
      </c>
    </row>
    <row r="413" customFormat="false" ht="15" hidden="false" customHeight="false" outlineLevel="0" collapsed="false">
      <c r="A413" s="3" t="n">
        <v>405</v>
      </c>
      <c r="B413" s="8" t="n">
        <v>45915</v>
      </c>
      <c r="C413" s="8" t="n">
        <v>45916</v>
      </c>
      <c r="D413" s="3" t="s">
        <v>814</v>
      </c>
      <c r="E413" s="3" t="s">
        <v>815</v>
      </c>
      <c r="F413" s="9"/>
      <c r="G413" s="9" t="n">
        <v>1106420.53</v>
      </c>
      <c r="H413" s="9" t="n">
        <f aca="false">H412+G413-F413</f>
        <v>83774404.1</v>
      </c>
    </row>
    <row r="414" customFormat="false" ht="15" hidden="false" customHeight="false" outlineLevel="0" collapsed="false">
      <c r="A414" s="3" t="n">
        <v>406</v>
      </c>
      <c r="B414" s="8" t="n">
        <v>45915</v>
      </c>
      <c r="C414" s="8" t="n">
        <v>45915</v>
      </c>
      <c r="D414" s="3" t="s">
        <v>816</v>
      </c>
      <c r="E414" s="3" t="s">
        <v>817</v>
      </c>
      <c r="F414" s="9" t="n">
        <v>894600</v>
      </c>
      <c r="G414" s="9"/>
      <c r="H414" s="9" t="n">
        <f aca="false">H413+G414-F414</f>
        <v>82879804.1</v>
      </c>
    </row>
    <row r="415" customFormat="false" ht="15" hidden="false" customHeight="false" outlineLevel="0" collapsed="false">
      <c r="A415" s="3" t="n">
        <v>407</v>
      </c>
      <c r="B415" s="8" t="n">
        <v>45915</v>
      </c>
      <c r="C415" s="8" t="n">
        <v>45915</v>
      </c>
      <c r="D415" s="3" t="s">
        <v>818</v>
      </c>
      <c r="E415" s="3" t="s">
        <v>819</v>
      </c>
      <c r="F415" s="9" t="n">
        <v>239562.09</v>
      </c>
      <c r="G415" s="9"/>
      <c r="H415" s="9" t="n">
        <f aca="false">H414+G415-F415</f>
        <v>82640242.01</v>
      </c>
    </row>
    <row r="416" customFormat="false" ht="15" hidden="false" customHeight="false" outlineLevel="0" collapsed="false">
      <c r="A416" s="3" t="n">
        <v>408</v>
      </c>
      <c r="B416" s="8" t="n">
        <v>45916</v>
      </c>
      <c r="C416" s="8" t="n">
        <v>45917</v>
      </c>
      <c r="D416" s="3" t="s">
        <v>820</v>
      </c>
      <c r="E416" s="3" t="s">
        <v>821</v>
      </c>
      <c r="F416" s="9"/>
      <c r="G416" s="9" t="n">
        <v>3337000</v>
      </c>
      <c r="H416" s="9" t="n">
        <f aca="false">H415+G416-F416</f>
        <v>85977242.01</v>
      </c>
    </row>
    <row r="417" customFormat="false" ht="15" hidden="false" customHeight="false" outlineLevel="0" collapsed="false">
      <c r="A417" s="3" t="n">
        <v>409</v>
      </c>
      <c r="B417" s="8" t="n">
        <v>45917</v>
      </c>
      <c r="C417" s="8" t="n">
        <v>45918</v>
      </c>
      <c r="D417" s="3" t="s">
        <v>822</v>
      </c>
      <c r="E417" s="3" t="s">
        <v>454</v>
      </c>
      <c r="F417" s="9" t="n">
        <v>1418200</v>
      </c>
      <c r="G417" s="9"/>
      <c r="H417" s="9" t="n">
        <f aca="false">H416+G417-F417</f>
        <v>84559042.01</v>
      </c>
    </row>
    <row r="418" customFormat="false" ht="15" hidden="false" customHeight="false" outlineLevel="0" collapsed="false">
      <c r="A418" s="3" t="n">
        <v>410</v>
      </c>
      <c r="B418" s="8" t="n">
        <v>45919</v>
      </c>
      <c r="C418" s="8" t="n">
        <v>45920</v>
      </c>
      <c r="D418" s="3" t="s">
        <v>823</v>
      </c>
      <c r="E418" s="3" t="s">
        <v>824</v>
      </c>
      <c r="F418" s="9" t="n">
        <v>245835.59</v>
      </c>
      <c r="G418" s="9"/>
      <c r="H418" s="9" t="n">
        <f aca="false">H417+G418-F418</f>
        <v>84313206.42</v>
      </c>
    </row>
    <row r="419" customFormat="false" ht="15" hidden="false" customHeight="false" outlineLevel="0" collapsed="false">
      <c r="A419" s="3" t="n">
        <v>411</v>
      </c>
      <c r="B419" s="8" t="n">
        <v>45922</v>
      </c>
      <c r="C419" s="8" t="n">
        <v>45922</v>
      </c>
      <c r="D419" s="3" t="s">
        <v>825</v>
      </c>
      <c r="E419" s="3" t="s">
        <v>826</v>
      </c>
      <c r="F419" s="9"/>
      <c r="G419" s="9" t="n">
        <v>1901241.69</v>
      </c>
      <c r="H419" s="9" t="n">
        <f aca="false">H418+G419-F419</f>
        <v>86214448.11</v>
      </c>
    </row>
    <row r="420" customFormat="false" ht="15" hidden="false" customHeight="false" outlineLevel="0" collapsed="false">
      <c r="A420" s="3" t="n">
        <v>412</v>
      </c>
      <c r="B420" s="8" t="n">
        <v>45922</v>
      </c>
      <c r="C420" s="8" t="n">
        <v>45922</v>
      </c>
      <c r="D420" s="3" t="s">
        <v>827</v>
      </c>
      <c r="E420" s="3" t="s">
        <v>828</v>
      </c>
      <c r="F420" s="9" t="n">
        <v>1543200</v>
      </c>
      <c r="G420" s="9"/>
      <c r="H420" s="9" t="n">
        <f aca="false">H419+G420-F420</f>
        <v>84671248.11</v>
      </c>
    </row>
    <row r="421" customFormat="false" ht="15" hidden="false" customHeight="false" outlineLevel="0" collapsed="false">
      <c r="A421" s="3" t="n">
        <v>413</v>
      </c>
      <c r="B421" s="8" t="n">
        <v>45922</v>
      </c>
      <c r="C421" s="8" t="n">
        <v>45923</v>
      </c>
      <c r="D421" s="3" t="s">
        <v>829</v>
      </c>
      <c r="E421" s="3" t="s">
        <v>830</v>
      </c>
      <c r="F421" s="9" t="n">
        <v>1533903.26</v>
      </c>
      <c r="G421" s="9"/>
      <c r="H421" s="9" t="n">
        <f aca="false">H420+G421-F421</f>
        <v>83137344.85</v>
      </c>
    </row>
    <row r="422" customFormat="false" ht="15" hidden="false" customHeight="false" outlineLevel="0" collapsed="false">
      <c r="A422" s="3" t="n">
        <v>414</v>
      </c>
      <c r="B422" s="8" t="n">
        <v>45922</v>
      </c>
      <c r="C422" s="8" t="n">
        <v>45922</v>
      </c>
      <c r="D422" s="3" t="s">
        <v>831</v>
      </c>
      <c r="E422" s="3" t="s">
        <v>832</v>
      </c>
      <c r="F422" s="9" t="n">
        <v>163072.68</v>
      </c>
      <c r="G422" s="9"/>
      <c r="H422" s="9" t="n">
        <f aca="false">H421+G422-F422</f>
        <v>82974272.17</v>
      </c>
    </row>
    <row r="423" customFormat="false" ht="15" hidden="false" customHeight="false" outlineLevel="0" collapsed="false">
      <c r="A423" s="3" t="n">
        <v>415</v>
      </c>
      <c r="B423" s="8" t="n">
        <v>45922</v>
      </c>
      <c r="C423" s="8" t="n">
        <v>45922</v>
      </c>
      <c r="D423" s="3" t="s">
        <v>833</v>
      </c>
      <c r="E423" s="3" t="s">
        <v>834</v>
      </c>
      <c r="F423" s="9" t="n">
        <v>313800</v>
      </c>
      <c r="G423" s="9"/>
      <c r="H423" s="9" t="n">
        <f aca="false">H422+G423-F423</f>
        <v>82660472.17</v>
      </c>
    </row>
    <row r="424" customFormat="false" ht="15" hidden="false" customHeight="false" outlineLevel="0" collapsed="false">
      <c r="A424" s="3" t="n">
        <v>416</v>
      </c>
      <c r="B424" s="8" t="n">
        <v>45923</v>
      </c>
      <c r="C424" s="8" t="n">
        <v>45923</v>
      </c>
      <c r="D424" s="3" t="s">
        <v>835</v>
      </c>
      <c r="E424" s="3" t="s">
        <v>836</v>
      </c>
      <c r="F424" s="9"/>
      <c r="G424" s="9" t="n">
        <v>4774500</v>
      </c>
      <c r="H424" s="9" t="n">
        <f aca="false">H423+G424-F424</f>
        <v>87434972.17</v>
      </c>
    </row>
    <row r="425" customFormat="false" ht="15" hidden="false" customHeight="false" outlineLevel="0" collapsed="false">
      <c r="A425" s="3" t="n">
        <v>417</v>
      </c>
      <c r="B425" s="8" t="n">
        <v>45923</v>
      </c>
      <c r="C425" s="8" t="n">
        <v>45923</v>
      </c>
      <c r="D425" s="3" t="s">
        <v>837</v>
      </c>
      <c r="E425" s="3" t="s">
        <v>838</v>
      </c>
      <c r="F425" s="9"/>
      <c r="G425" s="9" t="n">
        <v>687398.17</v>
      </c>
      <c r="H425" s="9" t="n">
        <f aca="false">H424+G425-F425</f>
        <v>88122370.34</v>
      </c>
    </row>
    <row r="426" customFormat="false" ht="15" hidden="false" customHeight="false" outlineLevel="0" collapsed="false">
      <c r="A426" s="3" t="n">
        <v>418</v>
      </c>
      <c r="B426" s="8" t="n">
        <v>45923</v>
      </c>
      <c r="C426" s="8" t="n">
        <v>45923</v>
      </c>
      <c r="D426" s="3" t="s">
        <v>839</v>
      </c>
      <c r="E426" s="3" t="s">
        <v>840</v>
      </c>
      <c r="F426" s="9" t="n">
        <v>418000</v>
      </c>
      <c r="G426" s="9"/>
      <c r="H426" s="9" t="n">
        <f aca="false">H425+G426-F426</f>
        <v>87704370.34</v>
      </c>
    </row>
    <row r="427" customFormat="false" ht="15" hidden="false" customHeight="false" outlineLevel="0" collapsed="false">
      <c r="A427" s="3" t="n">
        <v>419</v>
      </c>
      <c r="B427" s="8" t="n">
        <v>45924</v>
      </c>
      <c r="C427" s="8" t="n">
        <v>45924</v>
      </c>
      <c r="D427" s="3" t="s">
        <v>841</v>
      </c>
      <c r="E427" s="3" t="s">
        <v>842</v>
      </c>
      <c r="F427" s="9" t="n">
        <v>225237.13</v>
      </c>
      <c r="G427" s="9"/>
      <c r="H427" s="9" t="n">
        <f aca="false">H426+G427-F427</f>
        <v>87479133.21</v>
      </c>
    </row>
    <row r="428" customFormat="false" ht="15" hidden="false" customHeight="false" outlineLevel="0" collapsed="false">
      <c r="A428" s="3" t="n">
        <v>420</v>
      </c>
      <c r="B428" s="8" t="n">
        <v>45929</v>
      </c>
      <c r="C428" s="8" t="n">
        <v>45930</v>
      </c>
      <c r="D428" s="3" t="s">
        <v>843</v>
      </c>
      <c r="E428" s="3" t="s">
        <v>844</v>
      </c>
      <c r="F428" s="9"/>
      <c r="G428" s="9" t="n">
        <v>1065532.49</v>
      </c>
      <c r="H428" s="9" t="n">
        <f aca="false">H427+G428-F428</f>
        <v>88544665.7</v>
      </c>
    </row>
    <row r="429" customFormat="false" ht="15" hidden="false" customHeight="false" outlineLevel="0" collapsed="false">
      <c r="A429" s="3" t="n">
        <v>421</v>
      </c>
      <c r="B429" s="8" t="n">
        <v>45929</v>
      </c>
      <c r="C429" s="8" t="n">
        <v>45929</v>
      </c>
      <c r="D429" s="3" t="s">
        <v>845</v>
      </c>
      <c r="E429" s="3" t="s">
        <v>846</v>
      </c>
      <c r="F429" s="9" t="n">
        <v>4085300</v>
      </c>
      <c r="G429" s="9"/>
      <c r="H429" s="9" t="n">
        <f aca="false">H428+G429-F429</f>
        <v>84459365.7</v>
      </c>
    </row>
    <row r="430" customFormat="false" ht="15" hidden="false" customHeight="false" outlineLevel="0" collapsed="false">
      <c r="A430" s="3" t="n">
        <v>422</v>
      </c>
      <c r="B430" s="8" t="n">
        <v>45929</v>
      </c>
      <c r="C430" s="8" t="n">
        <v>45929</v>
      </c>
      <c r="D430" s="3" t="s">
        <v>847</v>
      </c>
      <c r="E430" s="3" t="s">
        <v>848</v>
      </c>
      <c r="F430" s="9" t="n">
        <v>164968.53</v>
      </c>
      <c r="G430" s="9"/>
      <c r="H430" s="9" t="n">
        <f aca="false">H429+G430-F430</f>
        <v>84294397.17</v>
      </c>
    </row>
    <row r="431" customFormat="false" ht="15" hidden="false" customHeight="false" outlineLevel="0" collapsed="false">
      <c r="A431" s="3" t="n">
        <v>423</v>
      </c>
      <c r="B431" s="8" t="n">
        <v>45930</v>
      </c>
      <c r="C431" s="8" t="n">
        <v>45930</v>
      </c>
      <c r="D431" s="3" t="s">
        <v>849</v>
      </c>
      <c r="E431" s="3" t="s">
        <v>315</v>
      </c>
      <c r="F431" s="9"/>
      <c r="G431" s="9" t="n">
        <v>44903.69</v>
      </c>
      <c r="H431" s="9" t="n">
        <f aca="false">H430+G431-F431</f>
        <v>84339300.86</v>
      </c>
    </row>
    <row r="432" customFormat="false" ht="15" hidden="false" customHeight="false" outlineLevel="0" collapsed="false">
      <c r="A432" s="3" t="n">
        <v>424</v>
      </c>
      <c r="B432" s="8" t="n">
        <v>45930</v>
      </c>
      <c r="C432" s="8" t="n">
        <v>45930</v>
      </c>
      <c r="D432" s="3" t="s">
        <v>850</v>
      </c>
      <c r="E432" s="3" t="s">
        <v>851</v>
      </c>
      <c r="F432" s="9" t="n">
        <v>4500</v>
      </c>
      <c r="G432" s="9"/>
      <c r="H432" s="9" t="n">
        <f aca="false">H431+G432-F432</f>
        <v>84334800.86</v>
      </c>
    </row>
    <row r="433" customFormat="false" ht="15" hidden="false" customHeight="false" outlineLevel="0" collapsed="false">
      <c r="A433" s="3" t="n">
        <v>425</v>
      </c>
      <c r="B433" s="8" t="n">
        <v>45930</v>
      </c>
      <c r="C433" s="8" t="n">
        <v>45930</v>
      </c>
      <c r="D433" s="3" t="s">
        <v>852</v>
      </c>
      <c r="E433" s="3" t="s">
        <v>136</v>
      </c>
      <c r="F433" s="9" t="n">
        <v>4195.77</v>
      </c>
      <c r="G433" s="9"/>
      <c r="H433" s="9" t="n">
        <f aca="false">H432+G433-F433</f>
        <v>84330605.09</v>
      </c>
    </row>
    <row r="434" customFormat="false" ht="15" hidden="false" customHeight="false" outlineLevel="0" collapsed="false">
      <c r="A434" s="3" t="n">
        <v>426</v>
      </c>
      <c r="B434" s="8" t="n">
        <v>45930</v>
      </c>
      <c r="C434" s="8" t="n">
        <v>45930</v>
      </c>
      <c r="D434" s="3" t="s">
        <v>853</v>
      </c>
      <c r="E434" s="3" t="s">
        <v>854</v>
      </c>
      <c r="F434" s="9" t="n">
        <v>200</v>
      </c>
      <c r="G434" s="9"/>
      <c r="H434" s="9" t="n">
        <f aca="false">H433+G434-F434</f>
        <v>84330405.09</v>
      </c>
    </row>
    <row r="435" customFormat="false" ht="15" hidden="false" customHeight="false" outlineLevel="0" collapsed="false">
      <c r="A435" s="3" t="n">
        <v>427</v>
      </c>
      <c r="B435" s="8" t="n">
        <v>45930</v>
      </c>
      <c r="C435" s="8" t="n">
        <v>45930</v>
      </c>
      <c r="D435" s="3" t="s">
        <v>855</v>
      </c>
      <c r="E435" s="3" t="s">
        <v>140</v>
      </c>
      <c r="F435" s="9" t="n">
        <v>667.18</v>
      </c>
      <c r="G435" s="9"/>
      <c r="H435" s="9" t="n">
        <f aca="false">H434+G435-F435</f>
        <v>84329737.91</v>
      </c>
    </row>
    <row r="436" customFormat="false" ht="15" hidden="false" customHeight="false" outlineLevel="0" collapsed="false">
      <c r="A436" s="3" t="n">
        <v>428</v>
      </c>
      <c r="B436" s="8" t="n">
        <v>45930</v>
      </c>
      <c r="C436" s="8" t="n">
        <v>45930</v>
      </c>
      <c r="D436" s="3" t="s">
        <v>856</v>
      </c>
      <c r="E436" s="3" t="s">
        <v>857</v>
      </c>
      <c r="F436" s="9" t="n">
        <v>950</v>
      </c>
      <c r="G436" s="9"/>
      <c r="H436" s="9" t="n">
        <f aca="false">H435+G436-F436</f>
        <v>84328787.91</v>
      </c>
    </row>
    <row r="437" customFormat="false" ht="15" hidden="false" customHeight="false" outlineLevel="0" collapsed="false">
      <c r="A437" s="3" t="n">
        <v>429</v>
      </c>
      <c r="B437" s="8" t="n">
        <v>45932</v>
      </c>
      <c r="C437" s="8" t="n">
        <v>45932</v>
      </c>
      <c r="D437" s="3" t="s">
        <v>858</v>
      </c>
      <c r="E437" s="3" t="s">
        <v>859</v>
      </c>
      <c r="F437" s="9"/>
      <c r="G437" s="9" t="n">
        <v>4123200</v>
      </c>
      <c r="H437" s="9" t="n">
        <f aca="false">H436+G437-F437</f>
        <v>88451987.91</v>
      </c>
    </row>
    <row r="438" customFormat="false" ht="15" hidden="false" customHeight="false" outlineLevel="0" collapsed="false">
      <c r="A438" s="3" t="n">
        <v>430</v>
      </c>
      <c r="B438" s="8" t="n">
        <v>45932</v>
      </c>
      <c r="C438" s="8" t="n">
        <v>45932</v>
      </c>
      <c r="D438" s="3" t="s">
        <v>860</v>
      </c>
      <c r="E438" s="3" t="s">
        <v>861</v>
      </c>
      <c r="F438" s="9" t="n">
        <v>2484200</v>
      </c>
      <c r="G438" s="9"/>
      <c r="H438" s="9" t="n">
        <f aca="false">H437+G438-F438</f>
        <v>85967787.91</v>
      </c>
    </row>
    <row r="439" customFormat="false" ht="15" hidden="false" customHeight="false" outlineLevel="0" collapsed="false">
      <c r="A439" s="3" t="n">
        <v>431</v>
      </c>
      <c r="B439" s="8" t="n">
        <v>45936</v>
      </c>
      <c r="C439" s="8" t="n">
        <v>45936</v>
      </c>
      <c r="D439" s="3" t="s">
        <v>862</v>
      </c>
      <c r="E439" s="3" t="s">
        <v>863</v>
      </c>
      <c r="F439" s="9"/>
      <c r="G439" s="9" t="n">
        <v>5167300</v>
      </c>
      <c r="H439" s="9" t="n">
        <f aca="false">H438+G439-F439</f>
        <v>91135087.91</v>
      </c>
    </row>
    <row r="440" customFormat="false" ht="15" hidden="false" customHeight="false" outlineLevel="0" collapsed="false">
      <c r="A440" s="3" t="n">
        <v>432</v>
      </c>
      <c r="B440" s="8" t="n">
        <v>45936</v>
      </c>
      <c r="C440" s="8" t="n">
        <v>45936</v>
      </c>
      <c r="D440" s="3" t="s">
        <v>864</v>
      </c>
      <c r="E440" s="3" t="s">
        <v>865</v>
      </c>
      <c r="F440" s="9"/>
      <c r="G440" s="9" t="n">
        <v>2235450</v>
      </c>
      <c r="H440" s="9" t="n">
        <f aca="false">H439+G440-F440</f>
        <v>93370537.91</v>
      </c>
    </row>
    <row r="441" customFormat="false" ht="15" hidden="false" customHeight="false" outlineLevel="0" collapsed="false">
      <c r="A441" s="3" t="n">
        <v>433</v>
      </c>
      <c r="B441" s="8" t="n">
        <v>45936</v>
      </c>
      <c r="C441" s="8" t="n">
        <v>45936</v>
      </c>
      <c r="D441" s="3" t="s">
        <v>866</v>
      </c>
      <c r="E441" s="3" t="s">
        <v>867</v>
      </c>
      <c r="F441" s="9"/>
      <c r="G441" s="9" t="n">
        <v>1775217.31</v>
      </c>
      <c r="H441" s="9" t="n">
        <f aca="false">H440+G441-F441</f>
        <v>95145755.22</v>
      </c>
    </row>
    <row r="442" customFormat="false" ht="15" hidden="false" customHeight="false" outlineLevel="0" collapsed="false">
      <c r="A442" s="3" t="n">
        <v>434</v>
      </c>
      <c r="B442" s="8" t="n">
        <v>45936</v>
      </c>
      <c r="C442" s="8" t="n">
        <v>45936</v>
      </c>
      <c r="D442" s="3" t="s">
        <v>868</v>
      </c>
      <c r="E442" s="3" t="s">
        <v>869</v>
      </c>
      <c r="F442" s="9" t="n">
        <v>3091900</v>
      </c>
      <c r="G442" s="9"/>
      <c r="H442" s="9" t="n">
        <f aca="false">H441+G442-F442</f>
        <v>92053855.22</v>
      </c>
    </row>
    <row r="443" customFormat="false" ht="15" hidden="false" customHeight="false" outlineLevel="0" collapsed="false">
      <c r="A443" s="3" t="n">
        <v>435</v>
      </c>
      <c r="B443" s="8" t="n">
        <v>45936</v>
      </c>
      <c r="C443" s="8" t="n">
        <v>45937</v>
      </c>
      <c r="D443" s="3" t="s">
        <v>870</v>
      </c>
      <c r="E443" s="3" t="s">
        <v>871</v>
      </c>
      <c r="F443" s="9" t="n">
        <v>272100</v>
      </c>
      <c r="G443" s="9"/>
      <c r="H443" s="9" t="n">
        <f aca="false">H442+G443-F443</f>
        <v>91781755.22</v>
      </c>
    </row>
    <row r="444" customFormat="false" ht="15" hidden="false" customHeight="false" outlineLevel="0" collapsed="false">
      <c r="A444" s="3" t="n">
        <v>436</v>
      </c>
      <c r="B444" s="8" t="n">
        <v>45936</v>
      </c>
      <c r="C444" s="8" t="n">
        <v>45936</v>
      </c>
      <c r="D444" s="3" t="s">
        <v>872</v>
      </c>
      <c r="E444" s="3" t="s">
        <v>873</v>
      </c>
      <c r="F444" s="9" t="n">
        <v>85000</v>
      </c>
      <c r="G444" s="9"/>
      <c r="H444" s="9" t="n">
        <f aca="false">H443+G444-F444</f>
        <v>91696755.22</v>
      </c>
    </row>
    <row r="445" customFormat="false" ht="15" hidden="false" customHeight="false" outlineLevel="0" collapsed="false">
      <c r="A445" s="3" t="n">
        <v>437</v>
      </c>
      <c r="B445" s="8" t="n">
        <v>45937</v>
      </c>
      <c r="C445" s="8" t="n">
        <v>45937</v>
      </c>
      <c r="D445" s="3" t="s">
        <v>874</v>
      </c>
      <c r="E445" s="3" t="s">
        <v>875</v>
      </c>
      <c r="F445" s="9" t="n">
        <v>1500000</v>
      </c>
      <c r="G445" s="9"/>
      <c r="H445" s="9" t="n">
        <f aca="false">H444+G445-F445</f>
        <v>90196755.22</v>
      </c>
    </row>
    <row r="446" customFormat="false" ht="15" hidden="false" customHeight="false" outlineLevel="0" collapsed="false">
      <c r="A446" s="3" t="n">
        <v>438</v>
      </c>
      <c r="B446" s="8" t="n">
        <v>45938</v>
      </c>
      <c r="C446" s="8" t="n">
        <v>45938</v>
      </c>
      <c r="D446" s="3" t="s">
        <v>876</v>
      </c>
      <c r="E446" s="3" t="s">
        <v>877</v>
      </c>
      <c r="F446" s="9" t="n">
        <v>232191.94</v>
      </c>
      <c r="G446" s="9"/>
      <c r="H446" s="9" t="n">
        <f aca="false">H445+G446-F446</f>
        <v>89964563.28</v>
      </c>
    </row>
    <row r="447" customFormat="false" ht="15" hidden="false" customHeight="false" outlineLevel="0" collapsed="false">
      <c r="A447" s="3" t="n">
        <v>439</v>
      </c>
      <c r="B447" s="8" t="n">
        <v>45938</v>
      </c>
      <c r="C447" s="8" t="n">
        <v>45938</v>
      </c>
      <c r="D447" s="3" t="s">
        <v>878</v>
      </c>
      <c r="E447" s="3" t="s">
        <v>879</v>
      </c>
      <c r="F447" s="9" t="n">
        <v>2716500</v>
      </c>
      <c r="G447" s="9"/>
      <c r="H447" s="9" t="n">
        <f aca="false">H446+G447-F447</f>
        <v>87248063.28</v>
      </c>
    </row>
    <row r="448" customFormat="false" ht="15" hidden="false" customHeight="false" outlineLevel="0" collapsed="false">
      <c r="A448" s="3" t="n">
        <v>440</v>
      </c>
      <c r="B448" s="8" t="n">
        <v>45939</v>
      </c>
      <c r="C448" s="8" t="n">
        <v>45939</v>
      </c>
      <c r="D448" s="3" t="s">
        <v>880</v>
      </c>
      <c r="E448" s="3" t="s">
        <v>881</v>
      </c>
      <c r="F448" s="9"/>
      <c r="G448" s="9" t="n">
        <v>2845600</v>
      </c>
      <c r="H448" s="9" t="n">
        <f aca="false">H447+G448-F448</f>
        <v>90093663.28</v>
      </c>
    </row>
    <row r="449" customFormat="false" ht="15" hidden="false" customHeight="false" outlineLevel="0" collapsed="false">
      <c r="A449" s="3" t="n">
        <v>441</v>
      </c>
      <c r="B449" s="8" t="n">
        <v>45939</v>
      </c>
      <c r="C449" s="8" t="n">
        <v>45940</v>
      </c>
      <c r="D449" s="3" t="s">
        <v>882</v>
      </c>
      <c r="E449" s="3" t="s">
        <v>883</v>
      </c>
      <c r="F449" s="9"/>
      <c r="G449" s="9" t="n">
        <v>918862.01</v>
      </c>
      <c r="H449" s="9" t="n">
        <f aca="false">H448+G449-F449</f>
        <v>91012525.29</v>
      </c>
    </row>
    <row r="450" customFormat="false" ht="15" hidden="false" customHeight="false" outlineLevel="0" collapsed="false">
      <c r="A450" s="3" t="n">
        <v>442</v>
      </c>
      <c r="B450" s="8" t="n">
        <v>45939</v>
      </c>
      <c r="C450" s="8" t="n">
        <v>45939</v>
      </c>
      <c r="D450" s="3" t="s">
        <v>884</v>
      </c>
      <c r="E450" s="3" t="s">
        <v>885</v>
      </c>
      <c r="F450" s="9" t="n">
        <v>681000</v>
      </c>
      <c r="G450" s="9"/>
      <c r="H450" s="9" t="n">
        <f aca="false">H449+G450-F450</f>
        <v>90331525.29</v>
      </c>
    </row>
    <row r="451" customFormat="false" ht="15" hidden="false" customHeight="false" outlineLevel="0" collapsed="false">
      <c r="A451" s="3" t="n">
        <v>443</v>
      </c>
      <c r="B451" s="8" t="n">
        <v>45940</v>
      </c>
      <c r="C451" s="8" t="n">
        <v>45940</v>
      </c>
      <c r="D451" s="3" t="s">
        <v>886</v>
      </c>
      <c r="E451" s="3" t="s">
        <v>887</v>
      </c>
      <c r="F451" s="9" t="n">
        <v>487060</v>
      </c>
      <c r="G451" s="9"/>
      <c r="H451" s="9" t="n">
        <f aca="false">H450+G451-F451</f>
        <v>89844465.29</v>
      </c>
    </row>
    <row r="452" customFormat="false" ht="15" hidden="false" customHeight="false" outlineLevel="0" collapsed="false">
      <c r="A452" s="3" t="n">
        <v>444</v>
      </c>
      <c r="B452" s="8" t="n">
        <v>45940</v>
      </c>
      <c r="C452" s="8" t="n">
        <v>45940</v>
      </c>
      <c r="D452" s="3" t="s">
        <v>888</v>
      </c>
      <c r="E452" s="3" t="s">
        <v>889</v>
      </c>
      <c r="F452" s="9" t="n">
        <v>1057421.95</v>
      </c>
      <c r="G452" s="9"/>
      <c r="H452" s="9" t="n">
        <f aca="false">H451+G452-F452</f>
        <v>88787043.34</v>
      </c>
    </row>
    <row r="453" customFormat="false" ht="15" hidden="false" customHeight="false" outlineLevel="0" collapsed="false">
      <c r="A453" s="3" t="n">
        <v>445</v>
      </c>
      <c r="B453" s="8" t="n">
        <v>45943</v>
      </c>
      <c r="C453" s="8" t="n">
        <v>45943</v>
      </c>
      <c r="D453" s="3" t="s">
        <v>890</v>
      </c>
      <c r="E453" s="3" t="s">
        <v>891</v>
      </c>
      <c r="F453" s="9"/>
      <c r="G453" s="9" t="n">
        <v>1330200</v>
      </c>
      <c r="H453" s="9" t="n">
        <f aca="false">H452+G453-F453</f>
        <v>90117243.34</v>
      </c>
    </row>
    <row r="454" customFormat="false" ht="15" hidden="false" customHeight="false" outlineLevel="0" collapsed="false">
      <c r="A454" s="3" t="n">
        <v>446</v>
      </c>
      <c r="B454" s="8" t="n">
        <v>45943</v>
      </c>
      <c r="C454" s="8" t="n">
        <v>45943</v>
      </c>
      <c r="D454" s="3" t="s">
        <v>892</v>
      </c>
      <c r="E454" s="3" t="s">
        <v>893</v>
      </c>
      <c r="F454" s="9"/>
      <c r="G454" s="9" t="n">
        <v>1425652.05</v>
      </c>
      <c r="H454" s="9" t="n">
        <f aca="false">H453+G454-F454</f>
        <v>91542895.39</v>
      </c>
    </row>
    <row r="455" customFormat="false" ht="15" hidden="false" customHeight="false" outlineLevel="0" collapsed="false">
      <c r="A455" s="3" t="n">
        <v>447</v>
      </c>
      <c r="B455" s="8" t="n">
        <v>45943</v>
      </c>
      <c r="C455" s="8" t="n">
        <v>45944</v>
      </c>
      <c r="D455" s="3" t="s">
        <v>894</v>
      </c>
      <c r="E455" s="3" t="s">
        <v>192</v>
      </c>
      <c r="F455" s="9"/>
      <c r="G455" s="9" t="n">
        <v>845454.11</v>
      </c>
      <c r="H455" s="9" t="n">
        <f aca="false">H454+G455-F455</f>
        <v>92388349.5</v>
      </c>
    </row>
    <row r="456" customFormat="false" ht="15" hidden="false" customHeight="false" outlineLevel="0" collapsed="false">
      <c r="A456" s="3" t="n">
        <v>448</v>
      </c>
      <c r="B456" s="8" t="n">
        <v>45943</v>
      </c>
      <c r="C456" s="8" t="n">
        <v>45943</v>
      </c>
      <c r="D456" s="3" t="s">
        <v>895</v>
      </c>
      <c r="E456" s="3" t="s">
        <v>896</v>
      </c>
      <c r="F456" s="9" t="n">
        <v>111884.35</v>
      </c>
      <c r="G456" s="9"/>
      <c r="H456" s="9" t="n">
        <f aca="false">H455+G456-F456</f>
        <v>92276465.15</v>
      </c>
    </row>
    <row r="457" customFormat="false" ht="15" hidden="false" customHeight="false" outlineLevel="0" collapsed="false">
      <c r="A457" s="3" t="n">
        <v>449</v>
      </c>
      <c r="B457" s="8" t="n">
        <v>45944</v>
      </c>
      <c r="C457" s="8" t="n">
        <v>45944</v>
      </c>
      <c r="D457" s="3" t="s">
        <v>897</v>
      </c>
      <c r="E457" s="3" t="s">
        <v>898</v>
      </c>
      <c r="F457" s="9" t="n">
        <v>182400</v>
      </c>
      <c r="G457" s="9"/>
      <c r="H457" s="9" t="n">
        <f aca="false">H456+G457-F457</f>
        <v>92094065.15</v>
      </c>
    </row>
    <row r="458" customFormat="false" ht="15" hidden="false" customHeight="false" outlineLevel="0" collapsed="false">
      <c r="A458" s="3" t="n">
        <v>450</v>
      </c>
      <c r="B458" s="8" t="n">
        <v>45944</v>
      </c>
      <c r="C458" s="8" t="n">
        <v>45944</v>
      </c>
      <c r="D458" s="3" t="s">
        <v>899</v>
      </c>
      <c r="E458" s="3" t="s">
        <v>900</v>
      </c>
      <c r="F458" s="9" t="n">
        <v>240000</v>
      </c>
      <c r="G458" s="9"/>
      <c r="H458" s="9" t="n">
        <f aca="false">H457+G458-F458</f>
        <v>91854065.15</v>
      </c>
    </row>
    <row r="459" customFormat="false" ht="15" hidden="false" customHeight="false" outlineLevel="0" collapsed="false">
      <c r="A459" s="3" t="n">
        <v>451</v>
      </c>
      <c r="B459" s="8" t="n">
        <v>45945</v>
      </c>
      <c r="C459" s="8" t="n">
        <v>45946</v>
      </c>
      <c r="D459" s="3" t="s">
        <v>901</v>
      </c>
      <c r="E459" s="3" t="s">
        <v>353</v>
      </c>
      <c r="F459" s="9"/>
      <c r="G459" s="9" t="n">
        <v>1511600</v>
      </c>
      <c r="H459" s="9" t="n">
        <f aca="false">H458+G459-F459</f>
        <v>93365665.15</v>
      </c>
    </row>
    <row r="460" customFormat="false" ht="15" hidden="false" customHeight="false" outlineLevel="0" collapsed="false">
      <c r="A460" s="3" t="n">
        <v>452</v>
      </c>
      <c r="B460" s="8" t="n">
        <v>45945</v>
      </c>
      <c r="C460" s="8" t="n">
        <v>45945</v>
      </c>
      <c r="D460" s="3" t="s">
        <v>902</v>
      </c>
      <c r="E460" s="3" t="s">
        <v>903</v>
      </c>
      <c r="F460" s="9" t="n">
        <v>1151500</v>
      </c>
      <c r="G460" s="9"/>
      <c r="H460" s="9" t="n">
        <f aca="false">H459+G460-F460</f>
        <v>92214165.15</v>
      </c>
    </row>
    <row r="461" customFormat="false" ht="15" hidden="false" customHeight="false" outlineLevel="0" collapsed="false">
      <c r="A461" s="3" t="n">
        <v>453</v>
      </c>
      <c r="B461" s="8" t="n">
        <v>45945</v>
      </c>
      <c r="C461" s="8" t="n">
        <v>45945</v>
      </c>
      <c r="D461" s="3" t="s">
        <v>904</v>
      </c>
      <c r="E461" s="3" t="s">
        <v>905</v>
      </c>
      <c r="F461" s="9" t="n">
        <v>894600</v>
      </c>
      <c r="G461" s="9"/>
      <c r="H461" s="9" t="n">
        <f aca="false">H460+G461-F461</f>
        <v>91319565.15</v>
      </c>
    </row>
    <row r="462" customFormat="false" ht="15" hidden="false" customHeight="false" outlineLevel="0" collapsed="false">
      <c r="A462" s="3" t="n">
        <v>454</v>
      </c>
      <c r="B462" s="8" t="n">
        <v>45945</v>
      </c>
      <c r="C462" s="8" t="n">
        <v>45945</v>
      </c>
      <c r="D462" s="3" t="s">
        <v>906</v>
      </c>
      <c r="E462" s="3" t="s">
        <v>907</v>
      </c>
      <c r="F462" s="9" t="n">
        <v>259408.44</v>
      </c>
      <c r="G462" s="9"/>
      <c r="H462" s="9" t="n">
        <f aca="false">H461+G462-F462</f>
        <v>91060156.71</v>
      </c>
    </row>
    <row r="463" customFormat="false" ht="15" hidden="false" customHeight="false" outlineLevel="0" collapsed="false">
      <c r="A463" s="3" t="n">
        <v>455</v>
      </c>
      <c r="B463" s="8" t="n">
        <v>45945</v>
      </c>
      <c r="C463" s="8" t="n">
        <v>45945</v>
      </c>
      <c r="D463" s="3" t="s">
        <v>908</v>
      </c>
      <c r="E463" s="3" t="s">
        <v>909</v>
      </c>
      <c r="F463" s="9"/>
      <c r="G463" s="9" t="n">
        <v>5000000</v>
      </c>
      <c r="H463" s="9" t="n">
        <f aca="false">H462+G463-F463</f>
        <v>96060156.71</v>
      </c>
    </row>
    <row r="464" customFormat="false" ht="15" hidden="false" customHeight="false" outlineLevel="0" collapsed="false">
      <c r="A464" s="3" t="n">
        <v>456</v>
      </c>
      <c r="B464" s="8" t="n">
        <v>45946</v>
      </c>
      <c r="C464" s="8" t="n">
        <v>45946</v>
      </c>
      <c r="D464" s="3" t="s">
        <v>910</v>
      </c>
      <c r="E464" s="3" t="s">
        <v>911</v>
      </c>
      <c r="F464" s="9" t="n">
        <v>1968500</v>
      </c>
      <c r="G464" s="9"/>
      <c r="H464" s="9" t="n">
        <f aca="false">H463+G464-F464</f>
        <v>94091656.71</v>
      </c>
    </row>
    <row r="465" customFormat="false" ht="15" hidden="false" customHeight="false" outlineLevel="0" collapsed="false">
      <c r="A465" s="3" t="n">
        <v>457</v>
      </c>
      <c r="B465" s="8" t="n">
        <v>45946</v>
      </c>
      <c r="C465" s="8" t="n">
        <v>45946</v>
      </c>
      <c r="D465" s="3" t="s">
        <v>912</v>
      </c>
      <c r="E465" s="3" t="s">
        <v>913</v>
      </c>
      <c r="F465" s="9" t="n">
        <v>1586000</v>
      </c>
      <c r="G465" s="9"/>
      <c r="H465" s="9" t="n">
        <f aca="false">H464+G465-F465</f>
        <v>92505656.71</v>
      </c>
    </row>
    <row r="466" customFormat="false" ht="15" hidden="false" customHeight="false" outlineLevel="0" collapsed="false">
      <c r="A466" s="3" t="n">
        <v>458</v>
      </c>
      <c r="B466" s="8" t="n">
        <v>45947</v>
      </c>
      <c r="C466" s="8" t="n">
        <v>45947</v>
      </c>
      <c r="D466" s="3" t="s">
        <v>914</v>
      </c>
      <c r="E466" s="3" t="s">
        <v>915</v>
      </c>
      <c r="F466" s="9"/>
      <c r="G466" s="9" t="n">
        <v>1327400</v>
      </c>
      <c r="H466" s="9" t="n">
        <f aca="false">H465+G466-F466</f>
        <v>93833056.71</v>
      </c>
    </row>
    <row r="467" customFormat="false" ht="15" hidden="false" customHeight="false" outlineLevel="0" collapsed="false">
      <c r="A467" s="3" t="n">
        <v>459</v>
      </c>
      <c r="B467" s="8" t="n">
        <v>45947</v>
      </c>
      <c r="C467" s="8" t="n">
        <v>45948</v>
      </c>
      <c r="D467" s="3" t="s">
        <v>916</v>
      </c>
      <c r="E467" s="3" t="s">
        <v>917</v>
      </c>
      <c r="F467" s="9" t="n">
        <v>195523.21</v>
      </c>
      <c r="G467" s="9"/>
      <c r="H467" s="9" t="n">
        <f aca="false">H466+G467-F467</f>
        <v>93637533.5</v>
      </c>
    </row>
    <row r="468" customFormat="false" ht="15" hidden="false" customHeight="false" outlineLevel="0" collapsed="false">
      <c r="A468" s="3" t="n">
        <v>460</v>
      </c>
      <c r="B468" s="8" t="n">
        <v>45947</v>
      </c>
      <c r="C468" s="8" t="n">
        <v>45948</v>
      </c>
      <c r="D468" s="3" t="s">
        <v>918</v>
      </c>
      <c r="E468" s="3" t="s">
        <v>732</v>
      </c>
      <c r="F468" s="9" t="n">
        <v>596400</v>
      </c>
      <c r="G468" s="9"/>
      <c r="H468" s="9" t="n">
        <f aca="false">H467+G468-F468</f>
        <v>93041133.5</v>
      </c>
    </row>
    <row r="469" customFormat="false" ht="15" hidden="false" customHeight="false" outlineLevel="0" collapsed="false">
      <c r="A469" s="3" t="n">
        <v>461</v>
      </c>
      <c r="B469" s="8" t="n">
        <v>45950</v>
      </c>
      <c r="C469" s="8" t="n">
        <v>45950</v>
      </c>
      <c r="D469" s="3" t="s">
        <v>919</v>
      </c>
      <c r="E469" s="3" t="s">
        <v>920</v>
      </c>
      <c r="F469" s="9"/>
      <c r="G469" s="9" t="n">
        <v>2840100</v>
      </c>
      <c r="H469" s="9" t="n">
        <f aca="false">H468+G469-F469</f>
        <v>95881233.5</v>
      </c>
    </row>
    <row r="470" customFormat="false" ht="15" hidden="false" customHeight="false" outlineLevel="0" collapsed="false">
      <c r="A470" s="3" t="n">
        <v>462</v>
      </c>
      <c r="B470" s="8" t="n">
        <v>45950</v>
      </c>
      <c r="C470" s="8" t="n">
        <v>45950</v>
      </c>
      <c r="D470" s="3" t="s">
        <v>921</v>
      </c>
      <c r="E470" s="3" t="s">
        <v>922</v>
      </c>
      <c r="F470" s="9"/>
      <c r="G470" s="9" t="n">
        <v>2190674.7</v>
      </c>
      <c r="H470" s="9" t="n">
        <f aca="false">H469+G470-F470</f>
        <v>98071908.2</v>
      </c>
    </row>
    <row r="471" customFormat="false" ht="15" hidden="false" customHeight="false" outlineLevel="0" collapsed="false">
      <c r="A471" s="3" t="n">
        <v>463</v>
      </c>
      <c r="B471" s="8" t="n">
        <v>45950</v>
      </c>
      <c r="C471" s="8" t="n">
        <v>45950</v>
      </c>
      <c r="D471" s="3" t="s">
        <v>923</v>
      </c>
      <c r="E471" s="3" t="s">
        <v>924</v>
      </c>
      <c r="F471" s="9" t="n">
        <v>2339500</v>
      </c>
      <c r="G471" s="9"/>
      <c r="H471" s="9" t="n">
        <f aca="false">H470+G471-F471</f>
        <v>95732408.2</v>
      </c>
    </row>
    <row r="472" customFormat="false" ht="15" hidden="false" customHeight="false" outlineLevel="0" collapsed="false">
      <c r="A472" s="3" t="n">
        <v>464</v>
      </c>
      <c r="B472" s="8" t="n">
        <v>45950</v>
      </c>
      <c r="C472" s="8" t="n">
        <v>45950</v>
      </c>
      <c r="D472" s="3" t="s">
        <v>925</v>
      </c>
      <c r="E472" s="3" t="s">
        <v>926</v>
      </c>
      <c r="F472" s="9" t="n">
        <v>640000</v>
      </c>
      <c r="G472" s="9"/>
      <c r="H472" s="9" t="n">
        <f aca="false">H471+G472-F472</f>
        <v>95092408.2</v>
      </c>
    </row>
    <row r="473" customFormat="false" ht="15" hidden="false" customHeight="false" outlineLevel="0" collapsed="false">
      <c r="A473" s="3" t="n">
        <v>465</v>
      </c>
      <c r="B473" s="8" t="n">
        <v>45951</v>
      </c>
      <c r="C473" s="8" t="n">
        <v>45951</v>
      </c>
      <c r="D473" s="3" t="s">
        <v>927</v>
      </c>
      <c r="E473" s="3" t="s">
        <v>928</v>
      </c>
      <c r="F473" s="9" t="n">
        <v>1686057.99</v>
      </c>
      <c r="G473" s="9"/>
      <c r="H473" s="9" t="n">
        <f aca="false">H472+G473-F473</f>
        <v>93406350.21</v>
      </c>
    </row>
    <row r="474" customFormat="false" ht="15" hidden="false" customHeight="false" outlineLevel="0" collapsed="false">
      <c r="A474" s="3" t="n">
        <v>466</v>
      </c>
      <c r="B474" s="8" t="n">
        <v>45952</v>
      </c>
      <c r="C474" s="8" t="n">
        <v>45952</v>
      </c>
      <c r="D474" s="3" t="s">
        <v>929</v>
      </c>
      <c r="E474" s="3" t="s">
        <v>192</v>
      </c>
      <c r="F474" s="9"/>
      <c r="G474" s="9" t="n">
        <v>1693722.78</v>
      </c>
      <c r="H474" s="9" t="n">
        <f aca="false">H473+G474-F474</f>
        <v>95100072.99</v>
      </c>
    </row>
    <row r="475" customFormat="false" ht="15" hidden="false" customHeight="false" outlineLevel="0" collapsed="false">
      <c r="A475" s="3" t="n">
        <v>467</v>
      </c>
      <c r="B475" s="8" t="n">
        <v>45952</v>
      </c>
      <c r="C475" s="8" t="n">
        <v>45952</v>
      </c>
      <c r="D475" s="3" t="s">
        <v>930</v>
      </c>
      <c r="E475" s="3" t="s">
        <v>931</v>
      </c>
      <c r="F475" s="9" t="n">
        <v>139377.96</v>
      </c>
      <c r="G475" s="9"/>
      <c r="H475" s="9" t="n">
        <f aca="false">H474+G475-F475</f>
        <v>94960695.03</v>
      </c>
    </row>
    <row r="476" customFormat="false" ht="15" hidden="false" customHeight="false" outlineLevel="0" collapsed="false">
      <c r="A476" s="3" t="n">
        <v>468</v>
      </c>
      <c r="B476" s="8" t="n">
        <v>45952</v>
      </c>
      <c r="C476" s="8" t="n">
        <v>45952</v>
      </c>
      <c r="D476" s="3" t="s">
        <v>932</v>
      </c>
      <c r="E476" s="3" t="s">
        <v>933</v>
      </c>
      <c r="F476" s="9" t="n">
        <v>132040.56</v>
      </c>
      <c r="G476" s="9"/>
      <c r="H476" s="9" t="n">
        <f aca="false">H475+G476-F476</f>
        <v>94828654.47</v>
      </c>
    </row>
    <row r="477" customFormat="false" ht="15" hidden="false" customHeight="false" outlineLevel="0" collapsed="false">
      <c r="A477" s="3" t="n">
        <v>469</v>
      </c>
      <c r="B477" s="8" t="n">
        <v>45952</v>
      </c>
      <c r="C477" s="8" t="n">
        <v>45952</v>
      </c>
      <c r="D477" s="3" t="s">
        <v>934</v>
      </c>
      <c r="E477" s="3" t="s">
        <v>935</v>
      </c>
      <c r="F477" s="9" t="n">
        <v>450000</v>
      </c>
      <c r="G477" s="9"/>
      <c r="H477" s="9" t="n">
        <f aca="false">H476+G477-F477</f>
        <v>94378654.47</v>
      </c>
    </row>
    <row r="478" customFormat="false" ht="15" hidden="false" customHeight="false" outlineLevel="0" collapsed="false">
      <c r="A478" s="3" t="n">
        <v>470</v>
      </c>
      <c r="B478" s="8" t="n">
        <v>45953</v>
      </c>
      <c r="C478" s="8" t="n">
        <v>45953</v>
      </c>
      <c r="D478" s="3" t="s">
        <v>936</v>
      </c>
      <c r="E478" s="3" t="s">
        <v>937</v>
      </c>
      <c r="F478" s="9"/>
      <c r="G478" s="9" t="n">
        <v>777437.56</v>
      </c>
      <c r="H478" s="9" t="n">
        <f aca="false">H477+G478-F478</f>
        <v>95156092.03</v>
      </c>
    </row>
    <row r="479" customFormat="false" ht="15" hidden="false" customHeight="false" outlineLevel="0" collapsed="false">
      <c r="A479" s="3" t="n">
        <v>471</v>
      </c>
      <c r="B479" s="8" t="n">
        <v>45954</v>
      </c>
      <c r="C479" s="8" t="n">
        <v>45954</v>
      </c>
      <c r="D479" s="3" t="s">
        <v>938</v>
      </c>
      <c r="E479" s="3" t="s">
        <v>939</v>
      </c>
      <c r="F479" s="9" t="n">
        <v>305276.14</v>
      </c>
      <c r="G479" s="9"/>
      <c r="H479" s="9" t="n">
        <f aca="false">H478+G479-F479</f>
        <v>94850815.89</v>
      </c>
    </row>
    <row r="480" customFormat="false" ht="15" hidden="false" customHeight="false" outlineLevel="0" collapsed="false">
      <c r="A480" s="3" t="n">
        <v>472</v>
      </c>
      <c r="B480" s="8" t="n">
        <v>45957</v>
      </c>
      <c r="C480" s="8" t="n">
        <v>45958</v>
      </c>
      <c r="D480" s="3" t="s">
        <v>940</v>
      </c>
      <c r="E480" s="3" t="s">
        <v>941</v>
      </c>
      <c r="F480" s="9"/>
      <c r="G480" s="9" t="n">
        <v>1050592.89</v>
      </c>
      <c r="H480" s="9" t="n">
        <f aca="false">H479+G480-F480</f>
        <v>95901408.78</v>
      </c>
    </row>
    <row r="481" customFormat="false" ht="15" hidden="false" customHeight="false" outlineLevel="0" collapsed="false">
      <c r="A481" s="3" t="n">
        <v>473</v>
      </c>
      <c r="B481" s="8" t="n">
        <v>45957</v>
      </c>
      <c r="C481" s="8" t="n">
        <v>45957</v>
      </c>
      <c r="D481" s="3" t="s">
        <v>942</v>
      </c>
      <c r="E481" s="3" t="s">
        <v>943</v>
      </c>
      <c r="F481" s="9" t="n">
        <v>4085300</v>
      </c>
      <c r="G481" s="9"/>
      <c r="H481" s="9" t="n">
        <f aca="false">H480+G481-F481</f>
        <v>91816108.78</v>
      </c>
    </row>
    <row r="482" customFormat="false" ht="15" hidden="false" customHeight="false" outlineLevel="0" collapsed="false">
      <c r="A482" s="3" t="n">
        <v>474</v>
      </c>
      <c r="B482" s="8" t="n">
        <v>45958</v>
      </c>
      <c r="C482" s="8" t="n">
        <v>45959</v>
      </c>
      <c r="D482" s="3" t="s">
        <v>944</v>
      </c>
      <c r="E482" s="3" t="s">
        <v>198</v>
      </c>
      <c r="F482" s="9" t="n">
        <v>1000000</v>
      </c>
      <c r="G482" s="9"/>
      <c r="H482" s="9" t="n">
        <f aca="false">H481+G482-F482</f>
        <v>90816108.78</v>
      </c>
    </row>
    <row r="483" customFormat="false" ht="15" hidden="false" customHeight="false" outlineLevel="0" collapsed="false">
      <c r="A483" s="3" t="n">
        <v>475</v>
      </c>
      <c r="B483" s="8" t="n">
        <v>45961</v>
      </c>
      <c r="C483" s="8" t="n">
        <v>45961</v>
      </c>
      <c r="D483" s="3" t="s">
        <v>945</v>
      </c>
      <c r="E483" s="3" t="s">
        <v>946</v>
      </c>
      <c r="F483" s="9" t="n">
        <v>4500</v>
      </c>
      <c r="G483" s="9"/>
      <c r="H483" s="9" t="n">
        <f aca="false">H482+G483-F483</f>
        <v>90811608.78</v>
      </c>
    </row>
    <row r="484" customFormat="false" ht="15" hidden="false" customHeight="false" outlineLevel="0" collapsed="false">
      <c r="A484" s="3" t="n">
        <v>476</v>
      </c>
      <c r="B484" s="8" t="n">
        <v>45961</v>
      </c>
      <c r="C484" s="8" t="n">
        <v>45961</v>
      </c>
      <c r="D484" s="3" t="s">
        <v>947</v>
      </c>
      <c r="E484" s="3" t="s">
        <v>136</v>
      </c>
      <c r="F484" s="9" t="n">
        <v>4393.63</v>
      </c>
      <c r="G484" s="9"/>
      <c r="H484" s="9" t="n">
        <f aca="false">H483+G484-F484</f>
        <v>90807215.15</v>
      </c>
    </row>
    <row r="485" customFormat="false" ht="15" hidden="false" customHeight="false" outlineLevel="0" collapsed="false">
      <c r="A485" s="3" t="n">
        <v>477</v>
      </c>
      <c r="B485" s="8" t="n">
        <v>45961</v>
      </c>
      <c r="C485" s="8" t="n">
        <v>45961</v>
      </c>
      <c r="D485" s="3" t="s">
        <v>948</v>
      </c>
      <c r="E485" s="3" t="s">
        <v>674</v>
      </c>
      <c r="F485" s="9" t="n">
        <v>500</v>
      </c>
      <c r="G485" s="9"/>
      <c r="H485" s="9" t="n">
        <f aca="false">H484+G485-F485</f>
        <v>90806715.15</v>
      </c>
    </row>
    <row r="486" customFormat="false" ht="15" hidden="false" customHeight="false" outlineLevel="0" collapsed="false">
      <c r="A486" s="3" t="n">
        <v>478</v>
      </c>
      <c r="B486" s="8" t="n">
        <v>45961</v>
      </c>
      <c r="C486" s="8" t="n">
        <v>45961</v>
      </c>
      <c r="D486" s="3" t="s">
        <v>949</v>
      </c>
      <c r="E486" s="3" t="s">
        <v>140</v>
      </c>
      <c r="F486" s="9" t="n">
        <v>704.52</v>
      </c>
      <c r="G486" s="9"/>
      <c r="H486" s="9" t="n">
        <f aca="false">H485+G486-F486</f>
        <v>90806010.63</v>
      </c>
    </row>
    <row r="487" customFormat="false" ht="15" hidden="false" customHeight="false" outlineLevel="0" collapsed="false">
      <c r="A487" s="3" t="n">
        <v>479</v>
      </c>
      <c r="B487" s="8" t="n">
        <v>45961</v>
      </c>
      <c r="C487" s="8" t="n">
        <v>45962</v>
      </c>
      <c r="D487" s="3" t="s">
        <v>950</v>
      </c>
      <c r="E487" s="3" t="s">
        <v>142</v>
      </c>
      <c r="F487" s="9" t="n">
        <v>850</v>
      </c>
      <c r="G487" s="9"/>
      <c r="H487" s="9" t="n">
        <f aca="false">H486+G487-F487</f>
        <v>90805160.63</v>
      </c>
    </row>
    <row r="488" customFormat="false" ht="15" hidden="false" customHeight="false" outlineLevel="0" collapsed="false">
      <c r="A488" s="3" t="n">
        <v>480</v>
      </c>
      <c r="B488" s="8" t="n">
        <v>45964</v>
      </c>
      <c r="C488" s="8" t="n">
        <v>45964</v>
      </c>
      <c r="D488" s="3" t="s">
        <v>951</v>
      </c>
      <c r="E488" s="3" t="s">
        <v>952</v>
      </c>
      <c r="F488" s="9"/>
      <c r="G488" s="9" t="n">
        <v>4167900</v>
      </c>
      <c r="H488" s="9" t="n">
        <f aca="false">H487+G488-F488</f>
        <v>94973060.63</v>
      </c>
    </row>
    <row r="489" customFormat="false" ht="15" hidden="false" customHeight="false" outlineLevel="0" collapsed="false">
      <c r="A489" s="3" t="n">
        <v>481</v>
      </c>
      <c r="B489" s="8" t="n">
        <v>45964</v>
      </c>
      <c r="C489" s="8" t="n">
        <v>45964</v>
      </c>
      <c r="D489" s="3" t="s">
        <v>953</v>
      </c>
      <c r="E489" s="3" t="s">
        <v>192</v>
      </c>
      <c r="F489" s="9"/>
      <c r="G489" s="9" t="n">
        <v>627953.99</v>
      </c>
      <c r="H489" s="9" t="n">
        <f aca="false">H488+G489-F489</f>
        <v>95601014.62</v>
      </c>
    </row>
    <row r="490" customFormat="false" ht="15" hidden="false" customHeight="false" outlineLevel="0" collapsed="false">
      <c r="A490" s="3" t="n">
        <v>482</v>
      </c>
      <c r="B490" s="8" t="n">
        <v>45964</v>
      </c>
      <c r="C490" s="8" t="n">
        <v>45964</v>
      </c>
      <c r="D490" s="3" t="s">
        <v>954</v>
      </c>
      <c r="E490" s="3" t="s">
        <v>955</v>
      </c>
      <c r="F490" s="9" t="n">
        <v>153012.19</v>
      </c>
      <c r="G490" s="9"/>
      <c r="H490" s="9" t="n">
        <f aca="false">H489+G490-F490</f>
        <v>95448002.43</v>
      </c>
    </row>
    <row r="491" customFormat="false" ht="15" hidden="false" customHeight="false" outlineLevel="0" collapsed="false">
      <c r="A491" s="3" t="n">
        <v>483</v>
      </c>
      <c r="B491" s="8" t="n">
        <v>45965</v>
      </c>
      <c r="C491" s="8" t="n">
        <v>45965</v>
      </c>
      <c r="D491" s="3" t="s">
        <v>956</v>
      </c>
      <c r="E491" s="3" t="s">
        <v>957</v>
      </c>
      <c r="F491" s="9" t="n">
        <v>204595.69</v>
      </c>
      <c r="G491" s="9"/>
      <c r="H491" s="9" t="n">
        <f aca="false">H490+G491-F491</f>
        <v>95243406.74</v>
      </c>
    </row>
    <row r="492" customFormat="false" ht="15" hidden="false" customHeight="false" outlineLevel="0" collapsed="false">
      <c r="A492" s="3" t="n">
        <v>484</v>
      </c>
      <c r="B492" s="8" t="n">
        <v>45966</v>
      </c>
      <c r="C492" s="8" t="n">
        <v>45966</v>
      </c>
      <c r="D492" s="3" t="s">
        <v>958</v>
      </c>
      <c r="E492" s="3" t="s">
        <v>959</v>
      </c>
      <c r="F492" s="9"/>
      <c r="G492" s="9" t="n">
        <v>2903700</v>
      </c>
      <c r="H492" s="9" t="n">
        <f aca="false">H491+G492-F492</f>
        <v>98147106.74</v>
      </c>
    </row>
    <row r="493" customFormat="false" ht="15" hidden="false" customHeight="false" outlineLevel="0" collapsed="false">
      <c r="A493" s="3" t="n">
        <v>485</v>
      </c>
      <c r="B493" s="8" t="n">
        <v>45966</v>
      </c>
      <c r="C493" s="8" t="n">
        <v>45966</v>
      </c>
      <c r="D493" s="3" t="s">
        <v>960</v>
      </c>
      <c r="E493" s="3" t="s">
        <v>961</v>
      </c>
      <c r="F493" s="9" t="n">
        <v>85000</v>
      </c>
      <c r="G493" s="9"/>
      <c r="H493" s="9" t="n">
        <f aca="false">H492+G493-F493</f>
        <v>98062106.74</v>
      </c>
    </row>
    <row r="494" customFormat="false" ht="15" hidden="false" customHeight="false" outlineLevel="0" collapsed="false">
      <c r="A494" s="3" t="n">
        <v>486</v>
      </c>
      <c r="B494" s="8" t="n">
        <v>45966</v>
      </c>
      <c r="C494" s="8" t="n">
        <v>45966</v>
      </c>
      <c r="D494" s="3" t="s">
        <v>962</v>
      </c>
      <c r="E494" s="3" t="s">
        <v>963</v>
      </c>
      <c r="F494" s="9" t="n">
        <v>276952.5</v>
      </c>
      <c r="G494" s="9"/>
      <c r="H494" s="9" t="n">
        <f aca="false">H493+G494-F494</f>
        <v>97785154.24</v>
      </c>
    </row>
    <row r="495" customFormat="false" ht="15" hidden="false" customHeight="false" outlineLevel="0" collapsed="false">
      <c r="A495" s="3" t="n">
        <v>487</v>
      </c>
      <c r="B495" s="8" t="n">
        <v>45966</v>
      </c>
      <c r="C495" s="8" t="n">
        <v>45966</v>
      </c>
      <c r="D495" s="3" t="s">
        <v>964</v>
      </c>
      <c r="E495" s="3" t="s">
        <v>965</v>
      </c>
      <c r="F495" s="9" t="n">
        <v>9240000</v>
      </c>
      <c r="G495" s="9"/>
      <c r="H495" s="9" t="n">
        <f aca="false">H494+G495-F495</f>
        <v>88545154.24</v>
      </c>
    </row>
    <row r="496" customFormat="false" ht="15" hidden="false" customHeight="false" outlineLevel="0" collapsed="false">
      <c r="A496" s="3" t="n">
        <v>488</v>
      </c>
      <c r="B496" s="8" t="n">
        <v>45966</v>
      </c>
      <c r="C496" s="8" t="n">
        <v>45966</v>
      </c>
      <c r="D496" s="3" t="s">
        <v>966</v>
      </c>
      <c r="E496" s="3" t="s">
        <v>967</v>
      </c>
      <c r="F496" s="9" t="n">
        <v>46200</v>
      </c>
      <c r="G496" s="9"/>
      <c r="H496" s="9" t="n">
        <f aca="false">H495+G496-F496</f>
        <v>88498954.24</v>
      </c>
    </row>
    <row r="497" customFormat="false" ht="15" hidden="false" customHeight="false" outlineLevel="0" collapsed="false">
      <c r="A497" s="3" t="n">
        <v>489</v>
      </c>
      <c r="B497" s="8" t="n">
        <v>45967</v>
      </c>
      <c r="C497" s="8" t="n">
        <v>45967</v>
      </c>
      <c r="D497" s="3" t="s">
        <v>968</v>
      </c>
      <c r="E497" s="3" t="s">
        <v>969</v>
      </c>
      <c r="F497" s="9"/>
      <c r="G497" s="9" t="n">
        <v>1868313.73</v>
      </c>
      <c r="H497" s="9" t="n">
        <f aca="false">H496+G497-F497</f>
        <v>90367267.97</v>
      </c>
    </row>
    <row r="498" customFormat="false" ht="15" hidden="false" customHeight="false" outlineLevel="0" collapsed="false">
      <c r="A498" s="3" t="n">
        <v>490</v>
      </c>
      <c r="B498" s="8" t="n">
        <v>45968</v>
      </c>
      <c r="C498" s="8" t="n">
        <v>45968</v>
      </c>
      <c r="D498" s="3" t="s">
        <v>970</v>
      </c>
      <c r="E498" s="3" t="s">
        <v>971</v>
      </c>
      <c r="F498" s="9" t="n">
        <v>607000</v>
      </c>
      <c r="G498" s="9"/>
      <c r="H498" s="9" t="n">
        <f aca="false">H497+G498-F498</f>
        <v>89760267.97</v>
      </c>
    </row>
    <row r="499" customFormat="false" ht="15" hidden="false" customHeight="false" outlineLevel="0" collapsed="false">
      <c r="A499" s="3" t="n">
        <v>491</v>
      </c>
      <c r="B499" s="8" t="n">
        <v>45971</v>
      </c>
      <c r="C499" s="8" t="n">
        <v>45971</v>
      </c>
      <c r="D499" s="3" t="s">
        <v>972</v>
      </c>
      <c r="E499" s="3" t="s">
        <v>973</v>
      </c>
      <c r="F499" s="9"/>
      <c r="G499" s="9" t="n">
        <v>618220.24</v>
      </c>
      <c r="H499" s="9" t="n">
        <f aca="false">H498+G499-F499</f>
        <v>90378488.21</v>
      </c>
    </row>
    <row r="500" customFormat="false" ht="15" hidden="false" customHeight="false" outlineLevel="0" collapsed="false">
      <c r="A500" s="3" t="n">
        <v>492</v>
      </c>
      <c r="B500" s="8" t="n">
        <v>45971</v>
      </c>
      <c r="C500" s="8" t="n">
        <v>45971</v>
      </c>
      <c r="D500" s="3" t="s">
        <v>974</v>
      </c>
      <c r="E500" s="3" t="s">
        <v>975</v>
      </c>
      <c r="F500" s="9" t="n">
        <v>1901100</v>
      </c>
      <c r="G500" s="9"/>
      <c r="H500" s="9" t="n">
        <f aca="false">H499+G500-F500</f>
        <v>88477388.21</v>
      </c>
    </row>
    <row r="501" customFormat="false" ht="15" hidden="false" customHeight="false" outlineLevel="0" collapsed="false">
      <c r="A501" s="3" t="n">
        <v>493</v>
      </c>
      <c r="B501" s="8" t="n">
        <v>45971</v>
      </c>
      <c r="C501" s="8" t="n">
        <v>45971</v>
      </c>
      <c r="D501" s="3" t="s">
        <v>976</v>
      </c>
      <c r="E501" s="3" t="s">
        <v>977</v>
      </c>
      <c r="F501" s="9" t="n">
        <v>1383500</v>
      </c>
      <c r="G501" s="9"/>
      <c r="H501" s="9" t="n">
        <f aca="false">H500+G501-F501</f>
        <v>87093888.21</v>
      </c>
    </row>
    <row r="502" customFormat="false" ht="15" hidden="false" customHeight="false" outlineLevel="0" collapsed="false">
      <c r="A502" s="3" t="n">
        <v>494</v>
      </c>
      <c r="B502" s="8" t="n">
        <v>45971</v>
      </c>
      <c r="C502" s="8" t="n">
        <v>45971</v>
      </c>
      <c r="D502" s="3" t="s">
        <v>978</v>
      </c>
      <c r="E502" s="3" t="s">
        <v>979</v>
      </c>
      <c r="F502" s="9" t="n">
        <v>487060</v>
      </c>
      <c r="G502" s="9"/>
      <c r="H502" s="9" t="n">
        <f aca="false">H501+G502-F502</f>
        <v>86606828.21</v>
      </c>
    </row>
    <row r="503" customFormat="false" ht="15" hidden="false" customHeight="false" outlineLevel="0" collapsed="false">
      <c r="A503" s="3" t="n">
        <v>495</v>
      </c>
      <c r="B503" s="8" t="n">
        <v>45971</v>
      </c>
      <c r="C503" s="8" t="n">
        <v>45971</v>
      </c>
      <c r="D503" s="3" t="s">
        <v>980</v>
      </c>
      <c r="E503" s="3" t="s">
        <v>760</v>
      </c>
      <c r="F503" s="9" t="n">
        <v>396400</v>
      </c>
      <c r="G503" s="9"/>
      <c r="H503" s="9" t="n">
        <f aca="false">H502+G503-F503</f>
        <v>86210428.21</v>
      </c>
    </row>
    <row r="504" customFormat="false" ht="15" hidden="false" customHeight="false" outlineLevel="0" collapsed="false">
      <c r="A504" s="3" t="n">
        <v>496</v>
      </c>
      <c r="B504" s="8" t="n">
        <v>45971</v>
      </c>
      <c r="C504" s="8" t="n">
        <v>45971</v>
      </c>
      <c r="D504" s="3" t="s">
        <v>981</v>
      </c>
      <c r="E504" s="3" t="s">
        <v>982</v>
      </c>
      <c r="F504" s="9" t="n">
        <v>250329.92</v>
      </c>
      <c r="G504" s="9"/>
      <c r="H504" s="9" t="n">
        <f aca="false">H503+G504-F504</f>
        <v>85960098.29</v>
      </c>
    </row>
    <row r="505" customFormat="false" ht="15" hidden="false" customHeight="false" outlineLevel="0" collapsed="false">
      <c r="A505" s="3" t="n">
        <v>497</v>
      </c>
      <c r="B505" s="8" t="n">
        <v>45971</v>
      </c>
      <c r="C505" s="8" t="n">
        <v>45971</v>
      </c>
      <c r="D505" s="3" t="s">
        <v>983</v>
      </c>
      <c r="E505" s="3" t="s">
        <v>984</v>
      </c>
      <c r="F505" s="9" t="n">
        <v>369001.14</v>
      </c>
      <c r="G505" s="9"/>
      <c r="H505" s="9" t="n">
        <f aca="false">H504+G505-F505</f>
        <v>85591097.15</v>
      </c>
    </row>
    <row r="506" customFormat="false" ht="15" hidden="false" customHeight="false" outlineLevel="0" collapsed="false">
      <c r="A506" s="3" t="n">
        <v>498</v>
      </c>
      <c r="B506" s="8" t="n">
        <v>45971</v>
      </c>
      <c r="C506" s="8" t="n">
        <v>45972</v>
      </c>
      <c r="D506" s="3" t="s">
        <v>985</v>
      </c>
      <c r="E506" s="3" t="s">
        <v>986</v>
      </c>
      <c r="F506" s="9" t="n">
        <v>1057421.95</v>
      </c>
      <c r="G506" s="9"/>
      <c r="H506" s="9" t="n">
        <f aca="false">H505+G506-F506</f>
        <v>84533675.2</v>
      </c>
    </row>
    <row r="507" customFormat="false" ht="15" hidden="false" customHeight="false" outlineLevel="0" collapsed="false">
      <c r="A507" s="3" t="n">
        <v>499</v>
      </c>
      <c r="B507" s="8" t="n">
        <v>45972</v>
      </c>
      <c r="C507" s="8" t="n">
        <v>45972</v>
      </c>
      <c r="D507" s="3" t="s">
        <v>987</v>
      </c>
      <c r="E507" s="3" t="s">
        <v>988</v>
      </c>
      <c r="F507" s="9" t="n">
        <v>3856300</v>
      </c>
      <c r="G507" s="9"/>
      <c r="H507" s="9" t="n">
        <f aca="false">H506+G507-F507</f>
        <v>80677375.2</v>
      </c>
    </row>
    <row r="508" customFormat="false" ht="15" hidden="false" customHeight="false" outlineLevel="0" collapsed="false">
      <c r="A508" s="3" t="n">
        <v>500</v>
      </c>
      <c r="B508" s="8" t="n">
        <v>45972</v>
      </c>
      <c r="C508" s="8" t="n">
        <v>45972</v>
      </c>
      <c r="D508" s="3" t="s">
        <v>989</v>
      </c>
      <c r="E508" s="3" t="s">
        <v>990</v>
      </c>
      <c r="F508" s="9" t="n">
        <v>320000</v>
      </c>
      <c r="G508" s="9"/>
      <c r="H508" s="9" t="n">
        <f aca="false">H507+G508-F508</f>
        <v>80357375.2</v>
      </c>
    </row>
    <row r="509" customFormat="false" ht="15" hidden="false" customHeight="false" outlineLevel="0" collapsed="false">
      <c r="A509" s="3" t="n">
        <v>501</v>
      </c>
      <c r="B509" s="8" t="n">
        <v>45973</v>
      </c>
      <c r="C509" s="8" t="n">
        <v>45973</v>
      </c>
      <c r="D509" s="3" t="s">
        <v>991</v>
      </c>
      <c r="E509" s="3" t="s">
        <v>992</v>
      </c>
      <c r="F509" s="9" t="n">
        <v>74590.32</v>
      </c>
      <c r="G509" s="9"/>
      <c r="H509" s="9" t="n">
        <f aca="false">H508+G509-F509</f>
        <v>80282784.88</v>
      </c>
    </row>
    <row r="510" customFormat="false" ht="15" hidden="false" customHeight="false" outlineLevel="0" collapsed="false">
      <c r="A510" s="3" t="n">
        <v>502</v>
      </c>
      <c r="B510" s="8" t="n">
        <v>45974</v>
      </c>
      <c r="C510" s="8" t="n">
        <v>45975</v>
      </c>
      <c r="D510" s="3" t="s">
        <v>993</v>
      </c>
      <c r="E510" s="3" t="s">
        <v>994</v>
      </c>
      <c r="F510" s="9"/>
      <c r="G510" s="9" t="n">
        <v>869363.02</v>
      </c>
      <c r="H510" s="9" t="n">
        <f aca="false">H509+G510-F510</f>
        <v>81152147.9</v>
      </c>
    </row>
    <row r="511" customFormat="false" ht="15" hidden="false" customHeight="false" outlineLevel="0" collapsed="false">
      <c r="A511" s="3" t="n">
        <v>503</v>
      </c>
      <c r="B511" s="8" t="n">
        <v>45975</v>
      </c>
      <c r="C511" s="8" t="n">
        <v>45975</v>
      </c>
      <c r="D511" s="3" t="s">
        <v>995</v>
      </c>
      <c r="E511" s="3" t="s">
        <v>996</v>
      </c>
      <c r="F511" s="9" t="n">
        <v>2537300</v>
      </c>
      <c r="G511" s="9"/>
      <c r="H511" s="9" t="n">
        <f aca="false">H510+G511-F511</f>
        <v>78614847.9</v>
      </c>
    </row>
    <row r="512" customFormat="false" ht="15" hidden="false" customHeight="false" outlineLevel="0" collapsed="false">
      <c r="A512" s="3" t="n">
        <v>504</v>
      </c>
      <c r="B512" s="8" t="n">
        <v>45975</v>
      </c>
      <c r="C512" s="8" t="n">
        <v>45975</v>
      </c>
      <c r="D512" s="3" t="s">
        <v>997</v>
      </c>
      <c r="E512" s="3" t="s">
        <v>998</v>
      </c>
      <c r="F512" s="9" t="n">
        <v>315900</v>
      </c>
      <c r="G512" s="9"/>
      <c r="H512" s="9" t="n">
        <f aca="false">H511+G512-F512</f>
        <v>78298947.9</v>
      </c>
    </row>
    <row r="513" customFormat="false" ht="15" hidden="false" customHeight="false" outlineLevel="0" collapsed="false">
      <c r="A513" s="3" t="n">
        <v>505</v>
      </c>
      <c r="B513" s="8" t="n">
        <v>45978</v>
      </c>
      <c r="C513" s="8" t="n">
        <v>45978</v>
      </c>
      <c r="D513" s="3" t="s">
        <v>999</v>
      </c>
      <c r="E513" s="3" t="s">
        <v>1000</v>
      </c>
      <c r="F513" s="9"/>
      <c r="G513" s="9" t="n">
        <v>5841700</v>
      </c>
      <c r="H513" s="9" t="n">
        <f aca="false">H512+G513-F513</f>
        <v>84140647.9</v>
      </c>
    </row>
    <row r="514" customFormat="false" ht="15" hidden="false" customHeight="false" outlineLevel="0" collapsed="false">
      <c r="A514" s="3" t="n">
        <v>506</v>
      </c>
      <c r="B514" s="8" t="n">
        <v>45978</v>
      </c>
      <c r="C514" s="8" t="n">
        <v>45978</v>
      </c>
      <c r="D514" s="3" t="s">
        <v>1001</v>
      </c>
      <c r="E514" s="3" t="s">
        <v>1002</v>
      </c>
      <c r="F514" s="9"/>
      <c r="G514" s="9" t="n">
        <v>3166900</v>
      </c>
      <c r="H514" s="9" t="n">
        <f aca="false">H513+G514-F514</f>
        <v>87307547.9</v>
      </c>
    </row>
    <row r="515" customFormat="false" ht="15" hidden="false" customHeight="false" outlineLevel="0" collapsed="false">
      <c r="A515" s="3" t="n">
        <v>507</v>
      </c>
      <c r="B515" s="8" t="n">
        <v>45978</v>
      </c>
      <c r="C515" s="8" t="n">
        <v>45978</v>
      </c>
      <c r="D515" s="3" t="s">
        <v>1003</v>
      </c>
      <c r="E515" s="3" t="s">
        <v>1004</v>
      </c>
      <c r="F515" s="9" t="n">
        <v>894600</v>
      </c>
      <c r="G515" s="9"/>
      <c r="H515" s="9" t="n">
        <f aca="false">H514+G515-F515</f>
        <v>86412947.9</v>
      </c>
    </row>
    <row r="516" customFormat="false" ht="15" hidden="false" customHeight="false" outlineLevel="0" collapsed="false">
      <c r="A516" s="3" t="n">
        <v>508</v>
      </c>
      <c r="B516" s="8" t="n">
        <v>45979</v>
      </c>
      <c r="C516" s="8" t="n">
        <v>45979</v>
      </c>
      <c r="D516" s="3" t="s">
        <v>1005</v>
      </c>
      <c r="E516" s="3" t="s">
        <v>1006</v>
      </c>
      <c r="F516" s="9"/>
      <c r="G516" s="9" t="n">
        <v>3893100</v>
      </c>
      <c r="H516" s="9" t="n">
        <f aca="false">H515+G516-F516</f>
        <v>90306047.9</v>
      </c>
    </row>
    <row r="517" customFormat="false" ht="15" hidden="false" customHeight="false" outlineLevel="0" collapsed="false">
      <c r="A517" s="3" t="n">
        <v>509</v>
      </c>
      <c r="B517" s="8" t="n">
        <v>45979</v>
      </c>
      <c r="C517" s="8" t="n">
        <v>45980</v>
      </c>
      <c r="D517" s="3" t="s">
        <v>1007</v>
      </c>
      <c r="E517" s="3" t="s">
        <v>1008</v>
      </c>
      <c r="F517" s="9" t="n">
        <v>2479000</v>
      </c>
      <c r="G517" s="9"/>
      <c r="H517" s="9" t="n">
        <f aca="false">H516+G517-F517</f>
        <v>87827047.9</v>
      </c>
    </row>
    <row r="518" customFormat="false" ht="15" hidden="false" customHeight="false" outlineLevel="0" collapsed="false">
      <c r="A518" s="3" t="n">
        <v>510</v>
      </c>
      <c r="B518" s="8" t="n">
        <v>45980</v>
      </c>
      <c r="C518" s="8" t="n">
        <v>45981</v>
      </c>
      <c r="D518" s="3" t="s">
        <v>1009</v>
      </c>
      <c r="E518" s="3" t="s">
        <v>1010</v>
      </c>
      <c r="F518" s="9"/>
      <c r="G518" s="9" t="n">
        <v>4786400</v>
      </c>
      <c r="H518" s="9" t="n">
        <f aca="false">H517+G518-F518</f>
        <v>92613447.9</v>
      </c>
    </row>
    <row r="519" customFormat="false" ht="15" hidden="false" customHeight="false" outlineLevel="0" collapsed="false">
      <c r="A519" s="3" t="n">
        <v>511</v>
      </c>
      <c r="B519" s="8" t="n">
        <v>45981</v>
      </c>
      <c r="C519" s="8" t="n">
        <v>45981</v>
      </c>
      <c r="D519" s="3" t="s">
        <v>1011</v>
      </c>
      <c r="E519" s="3" t="s">
        <v>1012</v>
      </c>
      <c r="F519" s="9"/>
      <c r="G519" s="9" t="n">
        <v>2283638.21</v>
      </c>
      <c r="H519" s="9" t="n">
        <f aca="false">H518+G519-F519</f>
        <v>94897086.11</v>
      </c>
    </row>
    <row r="520" customFormat="false" ht="15" hidden="false" customHeight="false" outlineLevel="0" collapsed="false">
      <c r="A520" s="3" t="n">
        <v>512</v>
      </c>
      <c r="B520" s="8" t="n">
        <v>45981</v>
      </c>
      <c r="C520" s="8" t="n">
        <v>45982</v>
      </c>
      <c r="D520" s="3" t="s">
        <v>1013</v>
      </c>
      <c r="E520" s="3" t="s">
        <v>146</v>
      </c>
      <c r="F520" s="9"/>
      <c r="G520" s="9" t="n">
        <v>1317901.03</v>
      </c>
      <c r="H520" s="9" t="n">
        <f aca="false">H519+G520-F520</f>
        <v>96214987.14</v>
      </c>
    </row>
    <row r="521" customFormat="false" ht="15" hidden="false" customHeight="false" outlineLevel="0" collapsed="false">
      <c r="A521" s="3" t="n">
        <v>513</v>
      </c>
      <c r="B521" s="8" t="n">
        <v>45982</v>
      </c>
      <c r="C521" s="8" t="n">
        <v>45983</v>
      </c>
      <c r="D521" s="3" t="s">
        <v>1014</v>
      </c>
      <c r="E521" s="3" t="s">
        <v>1015</v>
      </c>
      <c r="F521" s="9"/>
      <c r="G521" s="9" t="n">
        <v>4894200</v>
      </c>
      <c r="H521" s="9" t="n">
        <f aca="false">H520+G521-F521</f>
        <v>101109187.14</v>
      </c>
    </row>
    <row r="522" customFormat="false" ht="15" hidden="false" customHeight="false" outlineLevel="0" collapsed="false">
      <c r="A522" s="3" t="n">
        <v>514</v>
      </c>
      <c r="B522" s="8" t="n">
        <v>45982</v>
      </c>
      <c r="C522" s="8" t="n">
        <v>45982</v>
      </c>
      <c r="D522" s="3" t="s">
        <v>1016</v>
      </c>
      <c r="E522" s="3" t="s">
        <v>1017</v>
      </c>
      <c r="F522" s="9" t="n">
        <v>1386714.93</v>
      </c>
      <c r="G522" s="9"/>
      <c r="H522" s="9" t="n">
        <f aca="false">H521+G522-F522</f>
        <v>99722472.21</v>
      </c>
    </row>
    <row r="523" customFormat="false" ht="15" hidden="false" customHeight="false" outlineLevel="0" collapsed="false">
      <c r="A523" s="3" t="n">
        <v>515</v>
      </c>
      <c r="B523" s="8" t="n">
        <v>45985</v>
      </c>
      <c r="C523" s="8" t="n">
        <v>45985</v>
      </c>
      <c r="D523" s="3" t="s">
        <v>1018</v>
      </c>
      <c r="E523" s="3" t="s">
        <v>1019</v>
      </c>
      <c r="F523" s="9"/>
      <c r="G523" s="9" t="n">
        <v>681886.1</v>
      </c>
      <c r="H523" s="9" t="n">
        <f aca="false">H522+G523-F523</f>
        <v>100404358.31</v>
      </c>
    </row>
    <row r="524" customFormat="false" ht="15" hidden="false" customHeight="false" outlineLevel="0" collapsed="false">
      <c r="A524" s="3" t="n">
        <v>516</v>
      </c>
      <c r="B524" s="8" t="n">
        <v>45985</v>
      </c>
      <c r="C524" s="8" t="n">
        <v>45985</v>
      </c>
      <c r="D524" s="3" t="s">
        <v>1020</v>
      </c>
      <c r="E524" s="3" t="s">
        <v>1021</v>
      </c>
      <c r="F524" s="9" t="n">
        <v>163687.78</v>
      </c>
      <c r="G524" s="9"/>
      <c r="H524" s="9" t="n">
        <f aca="false">H523+G524-F524</f>
        <v>100240670.53</v>
      </c>
    </row>
    <row r="525" customFormat="false" ht="15" hidden="false" customHeight="false" outlineLevel="0" collapsed="false">
      <c r="A525" s="3" t="n">
        <v>517</v>
      </c>
      <c r="B525" s="8" t="n">
        <v>45985</v>
      </c>
      <c r="C525" s="8" t="n">
        <v>45985</v>
      </c>
      <c r="D525" s="3" t="s">
        <v>1022</v>
      </c>
      <c r="E525" s="3" t="s">
        <v>1023</v>
      </c>
      <c r="F525" s="9" t="n">
        <v>248766.88</v>
      </c>
      <c r="G525" s="9"/>
      <c r="H525" s="9" t="n">
        <f aca="false">H524+G525-F525</f>
        <v>99991903.65</v>
      </c>
    </row>
    <row r="526" customFormat="false" ht="15" hidden="false" customHeight="false" outlineLevel="0" collapsed="false">
      <c r="A526" s="3" t="n">
        <v>518</v>
      </c>
      <c r="B526" s="8" t="n">
        <v>45986</v>
      </c>
      <c r="C526" s="8" t="n">
        <v>45986</v>
      </c>
      <c r="D526" s="3" t="s">
        <v>1024</v>
      </c>
      <c r="E526" s="3" t="s">
        <v>1025</v>
      </c>
      <c r="F526" s="9" t="n">
        <v>1500000</v>
      </c>
      <c r="G526" s="9"/>
      <c r="H526" s="9" t="n">
        <f aca="false">H525+G526-F526</f>
        <v>98491903.65</v>
      </c>
    </row>
    <row r="527" customFormat="false" ht="15" hidden="false" customHeight="false" outlineLevel="0" collapsed="false">
      <c r="A527" s="3" t="n">
        <v>519</v>
      </c>
      <c r="B527" s="8" t="n">
        <v>45988</v>
      </c>
      <c r="C527" s="8" t="n">
        <v>45988</v>
      </c>
      <c r="D527" s="3" t="s">
        <v>1026</v>
      </c>
      <c r="E527" s="3" t="s">
        <v>1027</v>
      </c>
      <c r="F527" s="9"/>
      <c r="G527" s="9" t="n">
        <v>2014397.91</v>
      </c>
      <c r="H527" s="9" t="n">
        <f aca="false">H526+G527-F527</f>
        <v>100506301.56</v>
      </c>
    </row>
    <row r="528" customFormat="false" ht="15" hidden="false" customHeight="false" outlineLevel="0" collapsed="false">
      <c r="A528" s="3" t="n">
        <v>520</v>
      </c>
      <c r="B528" s="8" t="n">
        <v>45988</v>
      </c>
      <c r="C528" s="8" t="n">
        <v>45988</v>
      </c>
      <c r="D528" s="3" t="s">
        <v>1028</v>
      </c>
      <c r="E528" s="3" t="s">
        <v>1029</v>
      </c>
      <c r="F528" s="9" t="n">
        <v>4085300</v>
      </c>
      <c r="G528" s="9"/>
      <c r="H528" s="9" t="n">
        <f aca="false">H527+G528-F528</f>
        <v>96421001.56</v>
      </c>
    </row>
    <row r="529" customFormat="false" ht="15" hidden="false" customHeight="false" outlineLevel="0" collapsed="false">
      <c r="A529" s="3" t="n">
        <v>521</v>
      </c>
      <c r="B529" s="8" t="n">
        <v>45989</v>
      </c>
      <c r="C529" s="8" t="n">
        <v>45989</v>
      </c>
      <c r="D529" s="3" t="s">
        <v>1030</v>
      </c>
      <c r="E529" s="3" t="s">
        <v>1031</v>
      </c>
      <c r="F529" s="9" t="n">
        <v>4500</v>
      </c>
      <c r="G529" s="9"/>
      <c r="H529" s="9" t="n">
        <f aca="false">H528+G529-F529</f>
        <v>96416501.56</v>
      </c>
    </row>
    <row r="530" customFormat="false" ht="15" hidden="false" customHeight="false" outlineLevel="0" collapsed="false">
      <c r="A530" s="3" t="n">
        <v>522</v>
      </c>
      <c r="B530" s="8" t="n">
        <v>45989</v>
      </c>
      <c r="C530" s="8" t="n">
        <v>45989</v>
      </c>
      <c r="D530" s="3" t="s">
        <v>1032</v>
      </c>
      <c r="E530" s="3" t="s">
        <v>136</v>
      </c>
      <c r="F530" s="9" t="n">
        <v>4590.35</v>
      </c>
      <c r="G530" s="9"/>
      <c r="H530" s="9" t="n">
        <f aca="false">H529+G530-F530</f>
        <v>96411911.21</v>
      </c>
    </row>
    <row r="531" customFormat="false" ht="15" hidden="false" customHeight="false" outlineLevel="0" collapsed="false">
      <c r="A531" s="3" t="n">
        <v>523</v>
      </c>
      <c r="B531" s="8" t="n">
        <v>45989</v>
      </c>
      <c r="C531" s="8" t="n">
        <v>45989</v>
      </c>
      <c r="D531" s="3" t="s">
        <v>1033</v>
      </c>
      <c r="E531" s="3" t="s">
        <v>224</v>
      </c>
      <c r="F531" s="9" t="n">
        <v>300</v>
      </c>
      <c r="G531" s="9"/>
      <c r="H531" s="9" t="n">
        <f aca="false">H530+G531-F531</f>
        <v>96411611.21</v>
      </c>
    </row>
    <row r="532" customFormat="false" ht="15" hidden="false" customHeight="false" outlineLevel="0" collapsed="false">
      <c r="A532" s="3" t="n">
        <v>524</v>
      </c>
      <c r="B532" s="8" t="n">
        <v>45989</v>
      </c>
      <c r="C532" s="8" t="n">
        <v>45989</v>
      </c>
      <c r="D532" s="3" t="s">
        <v>1034</v>
      </c>
      <c r="E532" s="3" t="s">
        <v>140</v>
      </c>
      <c r="F532" s="9" t="n">
        <v>704.28</v>
      </c>
      <c r="G532" s="9"/>
      <c r="H532" s="9" t="n">
        <f aca="false">H531+G532-F532</f>
        <v>96410906.93</v>
      </c>
    </row>
    <row r="533" customFormat="false" ht="15" hidden="false" customHeight="false" outlineLevel="0" collapsed="false">
      <c r="A533" s="3" t="n">
        <v>525</v>
      </c>
      <c r="B533" s="8" t="n">
        <v>45989</v>
      </c>
      <c r="C533" s="8" t="n">
        <v>45989</v>
      </c>
      <c r="D533" s="3" t="s">
        <v>1035</v>
      </c>
      <c r="E533" s="3" t="s">
        <v>412</v>
      </c>
      <c r="F533" s="9" t="n">
        <v>750</v>
      </c>
      <c r="G533" s="9"/>
      <c r="H533" s="9" t="n">
        <f aca="false">H532+G533-F533</f>
        <v>96410156.93</v>
      </c>
    </row>
    <row r="534" customFormat="false" ht="15" hidden="false" customHeight="false" outlineLevel="0" collapsed="false">
      <c r="A534" s="3" t="n">
        <v>526</v>
      </c>
      <c r="B534" s="8" t="n">
        <v>45993</v>
      </c>
      <c r="C534" s="8" t="n">
        <v>45993</v>
      </c>
      <c r="D534" s="3" t="s">
        <v>1036</v>
      </c>
      <c r="E534" s="3" t="s">
        <v>1037</v>
      </c>
      <c r="F534" s="9" t="n">
        <v>319336.71</v>
      </c>
      <c r="G534" s="9"/>
      <c r="H534" s="9" t="n">
        <f aca="false">H533+G534-F534</f>
        <v>96090820.22</v>
      </c>
    </row>
    <row r="535" customFormat="false" ht="15" hidden="false" customHeight="false" outlineLevel="0" collapsed="false">
      <c r="A535" s="3" t="n">
        <v>527</v>
      </c>
      <c r="B535" s="8" t="n">
        <v>45994</v>
      </c>
      <c r="C535" s="8" t="n">
        <v>45994</v>
      </c>
      <c r="D535" s="3" t="s">
        <v>1038</v>
      </c>
      <c r="E535" s="3" t="s">
        <v>1039</v>
      </c>
      <c r="F535" s="9"/>
      <c r="G535" s="9" t="n">
        <v>1522000</v>
      </c>
      <c r="H535" s="9" t="n">
        <f aca="false">H534+G535-F535</f>
        <v>97612820.22</v>
      </c>
    </row>
    <row r="536" customFormat="false" ht="15" hidden="false" customHeight="false" outlineLevel="0" collapsed="false">
      <c r="A536" s="3" t="n">
        <v>528</v>
      </c>
      <c r="B536" s="8" t="n">
        <v>45995</v>
      </c>
      <c r="C536" s="8" t="n">
        <v>45995</v>
      </c>
      <c r="D536" s="3" t="s">
        <v>1040</v>
      </c>
      <c r="E536" s="3" t="s">
        <v>1041</v>
      </c>
      <c r="F536" s="9"/>
      <c r="G536" s="9" t="n">
        <v>585782.69</v>
      </c>
      <c r="H536" s="9" t="n">
        <f aca="false">H535+G536-F536</f>
        <v>98198602.91</v>
      </c>
    </row>
    <row r="537" customFormat="false" ht="15" hidden="false" customHeight="false" outlineLevel="0" collapsed="false">
      <c r="A537" s="3" t="n">
        <v>529</v>
      </c>
      <c r="B537" s="8" t="n">
        <v>45995</v>
      </c>
      <c r="C537" s="8" t="n">
        <v>45996</v>
      </c>
      <c r="D537" s="3" t="s">
        <v>1042</v>
      </c>
      <c r="E537" s="3" t="s">
        <v>1043</v>
      </c>
      <c r="F537" s="9" t="n">
        <v>339384.55</v>
      </c>
      <c r="G537" s="9"/>
      <c r="H537" s="9" t="n">
        <f aca="false">H536+G537-F537</f>
        <v>97859218.36</v>
      </c>
    </row>
    <row r="538" customFormat="false" ht="15" hidden="false" customHeight="false" outlineLevel="0" collapsed="false">
      <c r="A538" s="3" t="n">
        <v>530</v>
      </c>
      <c r="B538" s="8" t="n">
        <v>45996</v>
      </c>
      <c r="C538" s="8" t="n">
        <v>45996</v>
      </c>
      <c r="D538" s="3" t="s">
        <v>1044</v>
      </c>
      <c r="E538" s="3" t="s">
        <v>1045</v>
      </c>
      <c r="F538" s="9" t="n">
        <v>85000</v>
      </c>
      <c r="G538" s="9"/>
      <c r="H538" s="9" t="n">
        <f aca="false">H537+G538-F538</f>
        <v>97774218.36</v>
      </c>
    </row>
    <row r="539" customFormat="false" ht="15" hidden="false" customHeight="false" outlineLevel="0" collapsed="false">
      <c r="A539" s="3" t="n">
        <v>531</v>
      </c>
      <c r="B539" s="8" t="n">
        <v>45999</v>
      </c>
      <c r="C539" s="8" t="n">
        <v>45999</v>
      </c>
      <c r="D539" s="3" t="s">
        <v>1046</v>
      </c>
      <c r="E539" s="3" t="s">
        <v>1047</v>
      </c>
      <c r="F539" s="9"/>
      <c r="G539" s="9" t="n">
        <v>3973000</v>
      </c>
      <c r="H539" s="9" t="n">
        <f aca="false">H538+G539-F539</f>
        <v>101747218.36</v>
      </c>
    </row>
    <row r="540" customFormat="false" ht="15" hidden="false" customHeight="false" outlineLevel="0" collapsed="false">
      <c r="A540" s="3" t="n">
        <v>532</v>
      </c>
      <c r="B540" s="8" t="n">
        <v>45999</v>
      </c>
      <c r="C540" s="8" t="n">
        <v>45999</v>
      </c>
      <c r="D540" s="3" t="s">
        <v>1048</v>
      </c>
      <c r="E540" s="3" t="s">
        <v>1049</v>
      </c>
      <c r="F540" s="9"/>
      <c r="G540" s="9" t="n">
        <v>1814221.52</v>
      </c>
      <c r="H540" s="9" t="n">
        <f aca="false">H539+G540-F540</f>
        <v>103561439.88</v>
      </c>
    </row>
    <row r="541" customFormat="false" ht="15" hidden="false" customHeight="false" outlineLevel="0" collapsed="false">
      <c r="A541" s="3" t="n">
        <v>533</v>
      </c>
      <c r="B541" s="8" t="n">
        <v>45999</v>
      </c>
      <c r="C541" s="8" t="n">
        <v>45999</v>
      </c>
      <c r="D541" s="3" t="s">
        <v>1050</v>
      </c>
      <c r="E541" s="3" t="s">
        <v>1051</v>
      </c>
      <c r="F541" s="9" t="n">
        <v>416500</v>
      </c>
      <c r="G541" s="9"/>
      <c r="H541" s="9" t="n">
        <f aca="false">H540+G541-F541</f>
        <v>103144939.88</v>
      </c>
    </row>
    <row r="542" customFormat="false" ht="15" hidden="false" customHeight="false" outlineLevel="0" collapsed="false">
      <c r="A542" s="3" t="n">
        <v>534</v>
      </c>
      <c r="B542" s="8" t="n">
        <v>45999</v>
      </c>
      <c r="C542" s="8" t="n">
        <v>45999</v>
      </c>
      <c r="D542" s="3" t="s">
        <v>1052</v>
      </c>
      <c r="E542" s="3" t="s">
        <v>1053</v>
      </c>
      <c r="F542" s="9" t="n">
        <v>355600</v>
      </c>
      <c r="G542" s="9"/>
      <c r="H542" s="9" t="n">
        <f aca="false">H541+G542-F542</f>
        <v>102789339.88</v>
      </c>
    </row>
    <row r="543" customFormat="false" ht="15" hidden="false" customHeight="false" outlineLevel="0" collapsed="false">
      <c r="A543" s="3" t="n">
        <v>535</v>
      </c>
      <c r="B543" s="8" t="n">
        <v>45999</v>
      </c>
      <c r="C543" s="8" t="n">
        <v>45999</v>
      </c>
      <c r="D543" s="3" t="s">
        <v>1054</v>
      </c>
      <c r="E543" s="3" t="s">
        <v>1055</v>
      </c>
      <c r="F543" s="9" t="n">
        <v>303365.91</v>
      </c>
      <c r="G543" s="9"/>
      <c r="H543" s="9" t="n">
        <f aca="false">H542+G543-F543</f>
        <v>102485973.97</v>
      </c>
    </row>
    <row r="544" customFormat="false" ht="15" hidden="false" customHeight="false" outlineLevel="0" collapsed="false">
      <c r="A544" s="3" t="n">
        <v>536</v>
      </c>
      <c r="B544" s="8" t="n">
        <v>46000</v>
      </c>
      <c r="C544" s="8" t="n">
        <v>46000</v>
      </c>
      <c r="D544" s="3" t="s">
        <v>1056</v>
      </c>
      <c r="E544" s="3" t="s">
        <v>1057</v>
      </c>
      <c r="F544" s="9"/>
      <c r="G544" s="9" t="n">
        <v>1330013.33</v>
      </c>
      <c r="H544" s="9" t="n">
        <f aca="false">H543+G544-F544</f>
        <v>103815987.3</v>
      </c>
    </row>
    <row r="545" customFormat="false" ht="15" hidden="false" customHeight="false" outlineLevel="0" collapsed="false">
      <c r="A545" s="3" t="n">
        <v>537</v>
      </c>
      <c r="B545" s="8" t="n">
        <v>46001</v>
      </c>
      <c r="C545" s="8" t="n">
        <v>46002</v>
      </c>
      <c r="D545" s="3" t="s">
        <v>1058</v>
      </c>
      <c r="E545" s="3" t="s">
        <v>1059</v>
      </c>
      <c r="F545" s="9"/>
      <c r="G545" s="9" t="n">
        <v>2648400</v>
      </c>
      <c r="H545" s="9" t="n">
        <f aca="false">H544+G545-F545</f>
        <v>106464387.3</v>
      </c>
    </row>
    <row r="546" customFormat="false" ht="15" hidden="false" customHeight="false" outlineLevel="0" collapsed="false">
      <c r="A546" s="3" t="n">
        <v>538</v>
      </c>
      <c r="B546" s="8" t="n">
        <v>46001</v>
      </c>
      <c r="C546" s="8" t="n">
        <v>46001</v>
      </c>
      <c r="D546" s="3" t="s">
        <v>1060</v>
      </c>
      <c r="E546" s="3" t="s">
        <v>1061</v>
      </c>
      <c r="F546" s="9" t="n">
        <v>3123400</v>
      </c>
      <c r="G546" s="9"/>
      <c r="H546" s="9" t="n">
        <f aca="false">H545+G546-F546</f>
        <v>103340987.3</v>
      </c>
    </row>
    <row r="547" customFormat="false" ht="15" hidden="false" customHeight="false" outlineLevel="0" collapsed="false">
      <c r="A547" s="3" t="n">
        <v>539</v>
      </c>
      <c r="B547" s="8" t="n">
        <v>46001</v>
      </c>
      <c r="C547" s="8" t="n">
        <v>46002</v>
      </c>
      <c r="D547" s="3" t="s">
        <v>1062</v>
      </c>
      <c r="E547" s="3" t="s">
        <v>1063</v>
      </c>
      <c r="F547" s="9" t="n">
        <v>487060</v>
      </c>
      <c r="G547" s="9"/>
      <c r="H547" s="9" t="n">
        <f aca="false">H546+G547-F547</f>
        <v>102853927.3</v>
      </c>
    </row>
    <row r="548" customFormat="false" ht="15" hidden="false" customHeight="false" outlineLevel="0" collapsed="false">
      <c r="A548" s="3" t="n">
        <v>540</v>
      </c>
      <c r="B548" s="8" t="n">
        <v>46001</v>
      </c>
      <c r="C548" s="8" t="n">
        <v>46001</v>
      </c>
      <c r="D548" s="3" t="s">
        <v>1064</v>
      </c>
      <c r="E548" s="3" t="s">
        <v>1065</v>
      </c>
      <c r="F548" s="9" t="n">
        <v>1057421.95</v>
      </c>
      <c r="G548" s="9"/>
      <c r="H548" s="9" t="n">
        <f aca="false">H547+G548-F548</f>
        <v>101796505.35</v>
      </c>
    </row>
    <row r="549" customFormat="false" ht="15" hidden="false" customHeight="false" outlineLevel="0" collapsed="false">
      <c r="A549" s="3" t="n">
        <v>541</v>
      </c>
      <c r="B549" s="8" t="n">
        <v>46003</v>
      </c>
      <c r="C549" s="8" t="n">
        <v>46003</v>
      </c>
      <c r="D549" s="3" t="s">
        <v>1066</v>
      </c>
      <c r="E549" s="3" t="s">
        <v>1067</v>
      </c>
      <c r="F549" s="9" t="n">
        <v>117856.6</v>
      </c>
      <c r="G549" s="9"/>
      <c r="H549" s="9" t="n">
        <f aca="false">H548+G549-F549</f>
        <v>101678648.75</v>
      </c>
    </row>
    <row r="550" customFormat="false" ht="15" hidden="false" customHeight="false" outlineLevel="0" collapsed="false">
      <c r="A550" s="3" t="n">
        <v>542</v>
      </c>
      <c r="B550" s="8" t="n">
        <v>46003</v>
      </c>
      <c r="C550" s="8" t="n">
        <v>46003</v>
      </c>
      <c r="D550" s="3" t="s">
        <v>1068</v>
      </c>
      <c r="E550" s="3" t="s">
        <v>198</v>
      </c>
      <c r="F550" s="9" t="n">
        <v>1500000</v>
      </c>
      <c r="G550" s="9"/>
      <c r="H550" s="9" t="n">
        <f aca="false">H549+G550-F550</f>
        <v>100178648.75</v>
      </c>
    </row>
    <row r="551" customFormat="false" ht="15" hidden="false" customHeight="false" outlineLevel="0" collapsed="false">
      <c r="A551" s="3" t="n">
        <v>543</v>
      </c>
      <c r="B551" s="8" t="n">
        <v>46006</v>
      </c>
      <c r="C551" s="8" t="n">
        <v>46006</v>
      </c>
      <c r="D551" s="3" t="s">
        <v>1069</v>
      </c>
      <c r="E551" s="3" t="s">
        <v>1070</v>
      </c>
      <c r="F551" s="9"/>
      <c r="G551" s="9" t="n">
        <v>5788500</v>
      </c>
      <c r="H551" s="9" t="n">
        <f aca="false">H550+G551-F551</f>
        <v>105967148.75</v>
      </c>
    </row>
    <row r="552" customFormat="false" ht="15" hidden="false" customHeight="false" outlineLevel="0" collapsed="false">
      <c r="A552" s="3" t="n">
        <v>544</v>
      </c>
      <c r="B552" s="8" t="n">
        <v>46006</v>
      </c>
      <c r="C552" s="8" t="n">
        <v>46006</v>
      </c>
      <c r="D552" s="3" t="s">
        <v>1071</v>
      </c>
      <c r="E552" s="3" t="s">
        <v>1072</v>
      </c>
      <c r="F552" s="9"/>
      <c r="G552" s="9" t="n">
        <v>2979800</v>
      </c>
      <c r="H552" s="9" t="n">
        <f aca="false">H551+G552-F552</f>
        <v>108946948.75</v>
      </c>
    </row>
    <row r="553" customFormat="false" ht="15" hidden="false" customHeight="false" outlineLevel="0" collapsed="false">
      <c r="A553" s="3" t="n">
        <v>545</v>
      </c>
      <c r="B553" s="8" t="n">
        <v>46006</v>
      </c>
      <c r="C553" s="8" t="n">
        <v>46006</v>
      </c>
      <c r="D553" s="3" t="s">
        <v>1073</v>
      </c>
      <c r="E553" s="3" t="s">
        <v>1074</v>
      </c>
      <c r="F553" s="9"/>
      <c r="G553" s="9" t="n">
        <v>1994179.2</v>
      </c>
      <c r="H553" s="9" t="n">
        <f aca="false">H552+G553-F553</f>
        <v>110941127.95</v>
      </c>
    </row>
    <row r="554" customFormat="false" ht="15" hidden="false" customHeight="false" outlineLevel="0" collapsed="false">
      <c r="A554" s="3" t="n">
        <v>546</v>
      </c>
      <c r="B554" s="8" t="n">
        <v>46006</v>
      </c>
      <c r="C554" s="8" t="n">
        <v>46006</v>
      </c>
      <c r="D554" s="3" t="s">
        <v>1075</v>
      </c>
      <c r="E554" s="3" t="s">
        <v>192</v>
      </c>
      <c r="F554" s="9"/>
      <c r="G554" s="9" t="n">
        <v>1386624.8</v>
      </c>
      <c r="H554" s="9" t="n">
        <f aca="false">H553+G554-F554</f>
        <v>112327752.75</v>
      </c>
    </row>
    <row r="555" customFormat="false" ht="15" hidden="false" customHeight="false" outlineLevel="0" collapsed="false">
      <c r="A555" s="3" t="n">
        <v>547</v>
      </c>
      <c r="B555" s="8" t="n">
        <v>46006</v>
      </c>
      <c r="C555" s="8" t="n">
        <v>46006</v>
      </c>
      <c r="D555" s="3" t="s">
        <v>1076</v>
      </c>
      <c r="E555" s="3" t="s">
        <v>146</v>
      </c>
      <c r="F555" s="9"/>
      <c r="G555" s="9" t="n">
        <v>1756848.52</v>
      </c>
      <c r="H555" s="9" t="n">
        <f aca="false">H554+G555-F555</f>
        <v>114084601.27</v>
      </c>
    </row>
    <row r="556" customFormat="false" ht="15" hidden="false" customHeight="false" outlineLevel="0" collapsed="false">
      <c r="A556" s="3" t="n">
        <v>548</v>
      </c>
      <c r="B556" s="8" t="n">
        <v>46006</v>
      </c>
      <c r="C556" s="8" t="n">
        <v>46006</v>
      </c>
      <c r="D556" s="3" t="s">
        <v>1077</v>
      </c>
      <c r="E556" s="3" t="s">
        <v>1078</v>
      </c>
      <c r="F556" s="9" t="n">
        <v>3088500</v>
      </c>
      <c r="G556" s="9"/>
      <c r="H556" s="9" t="n">
        <f aca="false">H555+G556-F556</f>
        <v>110996101.27</v>
      </c>
    </row>
    <row r="557" customFormat="false" ht="15" hidden="false" customHeight="false" outlineLevel="0" collapsed="false">
      <c r="A557" s="3" t="n">
        <v>549</v>
      </c>
      <c r="B557" s="8" t="n">
        <v>46006</v>
      </c>
      <c r="C557" s="8" t="n">
        <v>46006</v>
      </c>
      <c r="D557" s="3" t="s">
        <v>1079</v>
      </c>
      <c r="E557" s="3" t="s">
        <v>1080</v>
      </c>
      <c r="F557" s="9" t="n">
        <v>2916600</v>
      </c>
      <c r="G557" s="9"/>
      <c r="H557" s="9" t="n">
        <f aca="false">H556+G557-F557</f>
        <v>108079501.27</v>
      </c>
    </row>
    <row r="558" customFormat="false" ht="15" hidden="false" customHeight="false" outlineLevel="0" collapsed="false">
      <c r="A558" s="3" t="n">
        <v>550</v>
      </c>
      <c r="B558" s="8" t="n">
        <v>46006</v>
      </c>
      <c r="C558" s="8" t="n">
        <v>46007</v>
      </c>
      <c r="D558" s="3" t="s">
        <v>1081</v>
      </c>
      <c r="E558" s="3" t="s">
        <v>1082</v>
      </c>
      <c r="F558" s="9" t="n">
        <v>894600</v>
      </c>
      <c r="G558" s="9"/>
      <c r="H558" s="9" t="n">
        <f aca="false">H557+G558-F558</f>
        <v>107184901.27</v>
      </c>
    </row>
    <row r="559" customFormat="false" ht="15" hidden="false" customHeight="false" outlineLevel="0" collapsed="false">
      <c r="A559" s="3" t="n">
        <v>551</v>
      </c>
      <c r="B559" s="8" t="n">
        <v>46006</v>
      </c>
      <c r="C559" s="8" t="n">
        <v>46006</v>
      </c>
      <c r="D559" s="3" t="s">
        <v>1083</v>
      </c>
      <c r="E559" s="3" t="s">
        <v>1084</v>
      </c>
      <c r="F559" s="9" t="n">
        <v>283132.32</v>
      </c>
      <c r="G559" s="9"/>
      <c r="H559" s="9" t="n">
        <f aca="false">H558+G559-F559</f>
        <v>106901768.95</v>
      </c>
    </row>
    <row r="560" customFormat="false" ht="15" hidden="false" customHeight="false" outlineLevel="0" collapsed="false">
      <c r="A560" s="3" t="n">
        <v>552</v>
      </c>
      <c r="B560" s="8" t="n">
        <v>46007</v>
      </c>
      <c r="C560" s="8" t="n">
        <v>46007</v>
      </c>
      <c r="D560" s="3" t="s">
        <v>1085</v>
      </c>
      <c r="E560" s="3" t="s">
        <v>1086</v>
      </c>
      <c r="F560" s="9" t="n">
        <v>452000</v>
      </c>
      <c r="G560" s="9"/>
      <c r="H560" s="9" t="n">
        <f aca="false">H559+G560-F560</f>
        <v>106449768.95</v>
      </c>
    </row>
    <row r="561" customFormat="false" ht="15" hidden="false" customHeight="false" outlineLevel="0" collapsed="false">
      <c r="A561" s="3" t="n">
        <v>553</v>
      </c>
      <c r="B561" s="8" t="n">
        <v>46008</v>
      </c>
      <c r="C561" s="8" t="n">
        <v>46008</v>
      </c>
      <c r="D561" s="3" t="s">
        <v>1087</v>
      </c>
      <c r="E561" s="3" t="s">
        <v>732</v>
      </c>
      <c r="F561" s="9" t="n">
        <v>284000</v>
      </c>
      <c r="G561" s="9"/>
      <c r="H561" s="9" t="n">
        <f aca="false">H560+G561-F561</f>
        <v>106165768.95</v>
      </c>
    </row>
    <row r="562" customFormat="false" ht="15" hidden="false" customHeight="false" outlineLevel="0" collapsed="false">
      <c r="A562" s="3" t="n">
        <v>554</v>
      </c>
      <c r="B562" s="8" t="n">
        <v>46010</v>
      </c>
      <c r="C562" s="8" t="n">
        <v>46010</v>
      </c>
      <c r="D562" s="3" t="s">
        <v>1088</v>
      </c>
      <c r="E562" s="3" t="s">
        <v>1089</v>
      </c>
      <c r="F562" s="9" t="n">
        <v>2729800</v>
      </c>
      <c r="G562" s="9"/>
      <c r="H562" s="9" t="n">
        <f aca="false">H561+G562-F562</f>
        <v>103435968.95</v>
      </c>
    </row>
    <row r="563" customFormat="false" ht="15" hidden="false" customHeight="false" outlineLevel="0" collapsed="false">
      <c r="A563" s="3" t="n">
        <v>555</v>
      </c>
      <c r="B563" s="8" t="n">
        <v>46010</v>
      </c>
      <c r="C563" s="8" t="n">
        <v>46010</v>
      </c>
      <c r="D563" s="3" t="s">
        <v>1090</v>
      </c>
      <c r="E563" s="3" t="s">
        <v>1091</v>
      </c>
      <c r="F563" s="9" t="n">
        <v>3676800</v>
      </c>
      <c r="G563" s="9"/>
      <c r="H563" s="9" t="n">
        <f aca="false">H562+G563-F563</f>
        <v>99759168.95</v>
      </c>
    </row>
    <row r="564" customFormat="false" ht="15" hidden="false" customHeight="false" outlineLevel="0" collapsed="false">
      <c r="A564" s="3" t="n">
        <v>556</v>
      </c>
      <c r="B564" s="8" t="n">
        <v>46013</v>
      </c>
      <c r="C564" s="8" t="n">
        <v>46013</v>
      </c>
      <c r="D564" s="3" t="s">
        <v>1092</v>
      </c>
      <c r="E564" s="3" t="s">
        <v>1093</v>
      </c>
      <c r="F564" s="9"/>
      <c r="G564" s="9" t="n">
        <v>1469388.59</v>
      </c>
      <c r="H564" s="9" t="n">
        <f aca="false">H563+G564-F564</f>
        <v>101228557.54</v>
      </c>
    </row>
    <row r="565" customFormat="false" ht="15" hidden="false" customHeight="false" outlineLevel="0" collapsed="false">
      <c r="A565" s="3" t="n">
        <v>557</v>
      </c>
      <c r="B565" s="8" t="n">
        <v>46013</v>
      </c>
      <c r="C565" s="8" t="n">
        <v>46013</v>
      </c>
      <c r="D565" s="3" t="s">
        <v>1094</v>
      </c>
      <c r="E565" s="3" t="s">
        <v>1095</v>
      </c>
      <c r="F565" s="9" t="n">
        <v>1727445.77</v>
      </c>
      <c r="G565" s="9"/>
      <c r="H565" s="9" t="n">
        <f aca="false">H564+G565-F565</f>
        <v>99501111.77</v>
      </c>
    </row>
    <row r="566" customFormat="false" ht="15" hidden="false" customHeight="false" outlineLevel="0" collapsed="false">
      <c r="A566" s="3" t="n">
        <v>558</v>
      </c>
      <c r="B566" s="8" t="n">
        <v>46013</v>
      </c>
      <c r="C566" s="8" t="n">
        <v>46013</v>
      </c>
      <c r="D566" s="3" t="s">
        <v>1096</v>
      </c>
      <c r="E566" s="3" t="s">
        <v>1097</v>
      </c>
      <c r="F566" s="9" t="n">
        <v>214605.23</v>
      </c>
      <c r="G566" s="9"/>
      <c r="H566" s="9" t="n">
        <f aca="false">H565+G566-F566</f>
        <v>99286506.54</v>
      </c>
    </row>
    <row r="567" customFormat="false" ht="15" hidden="false" customHeight="false" outlineLevel="0" collapsed="false">
      <c r="A567" s="3" t="n">
        <v>559</v>
      </c>
      <c r="B567" s="8" t="n">
        <v>46013</v>
      </c>
      <c r="C567" s="8" t="n">
        <v>46013</v>
      </c>
      <c r="D567" s="3" t="s">
        <v>1098</v>
      </c>
      <c r="E567" s="3" t="s">
        <v>1099</v>
      </c>
      <c r="F567" s="9" t="n">
        <v>620000</v>
      </c>
      <c r="G567" s="9"/>
      <c r="H567" s="9" t="n">
        <f aca="false">H566+G567-F567</f>
        <v>98666506.54</v>
      </c>
    </row>
    <row r="568" customFormat="false" ht="15" hidden="false" customHeight="false" outlineLevel="0" collapsed="false">
      <c r="A568" s="3" t="n">
        <v>560</v>
      </c>
      <c r="B568" s="8" t="n">
        <v>46014</v>
      </c>
      <c r="C568" s="8" t="n">
        <v>46015</v>
      </c>
      <c r="D568" s="3" t="s">
        <v>1100</v>
      </c>
      <c r="E568" s="3" t="s">
        <v>1101</v>
      </c>
      <c r="F568" s="9"/>
      <c r="G568" s="9" t="n">
        <v>1442000.87</v>
      </c>
      <c r="H568" s="9" t="n">
        <f aca="false">H567+G568-F568</f>
        <v>100108507.41</v>
      </c>
    </row>
    <row r="569" customFormat="false" ht="15" hidden="false" customHeight="false" outlineLevel="0" collapsed="false">
      <c r="A569" s="3" t="n">
        <v>561</v>
      </c>
      <c r="B569" s="8" t="n">
        <v>46015</v>
      </c>
      <c r="C569" s="8" t="n">
        <v>46015</v>
      </c>
      <c r="D569" s="3" t="s">
        <v>1102</v>
      </c>
      <c r="E569" s="3" t="s">
        <v>1103</v>
      </c>
      <c r="F569" s="9" t="n">
        <v>322368.72</v>
      </c>
      <c r="G569" s="9"/>
      <c r="H569" s="9" t="n">
        <f aca="false">H568+G569-F569</f>
        <v>99786138.69</v>
      </c>
    </row>
    <row r="570" customFormat="false" ht="15" hidden="false" customHeight="false" outlineLevel="0" collapsed="false">
      <c r="A570" s="3" t="n">
        <v>562</v>
      </c>
      <c r="B570" s="8" t="n">
        <v>46017</v>
      </c>
      <c r="C570" s="8" t="n">
        <v>46017</v>
      </c>
      <c r="D570" s="3" t="s">
        <v>1104</v>
      </c>
      <c r="E570" s="3" t="s">
        <v>1105</v>
      </c>
      <c r="F570" s="9"/>
      <c r="G570" s="9" t="n">
        <v>4927600</v>
      </c>
      <c r="H570" s="9" t="n">
        <f aca="false">H569+G570-F570</f>
        <v>104713738.69</v>
      </c>
    </row>
    <row r="571" customFormat="false" ht="15" hidden="false" customHeight="false" outlineLevel="0" collapsed="false">
      <c r="A571" s="3" t="n">
        <v>563</v>
      </c>
      <c r="B571" s="8" t="n">
        <v>46017</v>
      </c>
      <c r="C571" s="8" t="n">
        <v>46017</v>
      </c>
      <c r="D571" s="3" t="s">
        <v>1106</v>
      </c>
      <c r="E571" s="3" t="s">
        <v>1107</v>
      </c>
      <c r="F571" s="9"/>
      <c r="G571" s="9" t="n">
        <v>5127200</v>
      </c>
      <c r="H571" s="9" t="n">
        <f aca="false">H570+G571-F571</f>
        <v>109840938.69</v>
      </c>
    </row>
    <row r="572" customFormat="false" ht="15" hidden="false" customHeight="false" outlineLevel="0" collapsed="false">
      <c r="A572" s="3" t="n">
        <v>564</v>
      </c>
      <c r="B572" s="8" t="n">
        <v>46020</v>
      </c>
      <c r="C572" s="8" t="n">
        <v>46020</v>
      </c>
      <c r="D572" s="3" t="s">
        <v>1108</v>
      </c>
      <c r="E572" s="3" t="s">
        <v>1109</v>
      </c>
      <c r="F572" s="9"/>
      <c r="G572" s="9" t="n">
        <v>4328300</v>
      </c>
      <c r="H572" s="9" t="n">
        <f aca="false">H571+G572-F572</f>
        <v>114169238.69</v>
      </c>
    </row>
    <row r="573" customFormat="false" ht="15" hidden="false" customHeight="false" outlineLevel="0" collapsed="false">
      <c r="A573" s="3" t="n">
        <v>565</v>
      </c>
      <c r="B573" s="8" t="n">
        <v>46020</v>
      </c>
      <c r="C573" s="8" t="n">
        <v>46020</v>
      </c>
      <c r="D573" s="3" t="s">
        <v>1110</v>
      </c>
      <c r="E573" s="3" t="s">
        <v>1111</v>
      </c>
      <c r="F573" s="9"/>
      <c r="G573" s="9" t="n">
        <v>1893646.13</v>
      </c>
      <c r="H573" s="9" t="n">
        <f aca="false">H572+G573-F573</f>
        <v>116062884.82</v>
      </c>
    </row>
    <row r="574" customFormat="false" ht="15" hidden="false" customHeight="false" outlineLevel="0" collapsed="false">
      <c r="A574" s="3" t="n">
        <v>566</v>
      </c>
      <c r="B574" s="8" t="n">
        <v>46020</v>
      </c>
      <c r="C574" s="8" t="n">
        <v>46020</v>
      </c>
      <c r="D574" s="3" t="s">
        <v>1112</v>
      </c>
      <c r="E574" s="3" t="s">
        <v>1113</v>
      </c>
      <c r="F574" s="9" t="n">
        <v>4085300</v>
      </c>
      <c r="G574" s="9"/>
      <c r="H574" s="9" t="n">
        <f aca="false">H573+G574-F574</f>
        <v>111977584.82</v>
      </c>
    </row>
    <row r="575" customFormat="false" ht="15" hidden="false" customHeight="false" outlineLevel="0" collapsed="false">
      <c r="A575" s="3" t="n">
        <v>567</v>
      </c>
      <c r="B575" s="8" t="n">
        <v>46020</v>
      </c>
      <c r="C575" s="8" t="n">
        <v>46020</v>
      </c>
      <c r="D575" s="3" t="s">
        <v>1114</v>
      </c>
      <c r="E575" s="3" t="s">
        <v>1115</v>
      </c>
      <c r="F575" s="9" t="n">
        <v>195613.23</v>
      </c>
      <c r="G575" s="9"/>
      <c r="H575" s="9" t="n">
        <f aca="false">H574+G575-F575</f>
        <v>111781971.59</v>
      </c>
    </row>
    <row r="576" customFormat="false" ht="15" hidden="false" customHeight="false" outlineLevel="0" collapsed="false">
      <c r="A576" s="3" t="n">
        <v>568</v>
      </c>
      <c r="B576" s="8" t="n">
        <v>46022</v>
      </c>
      <c r="C576" s="8" t="n">
        <v>46022</v>
      </c>
      <c r="D576" s="3" t="s">
        <v>1116</v>
      </c>
      <c r="E576" s="3" t="s">
        <v>315</v>
      </c>
      <c r="F576" s="9"/>
      <c r="G576" s="9" t="n">
        <v>40607.24</v>
      </c>
      <c r="H576" s="9" t="n">
        <f aca="false">H575+G576-F576</f>
        <v>111822578.83</v>
      </c>
    </row>
    <row r="577" customFormat="false" ht="15" hidden="false" customHeight="false" outlineLevel="0" collapsed="false">
      <c r="A577" s="3" t="n">
        <v>569</v>
      </c>
      <c r="B577" s="8" t="n">
        <v>46022</v>
      </c>
      <c r="C577" s="8" t="n">
        <v>46022</v>
      </c>
      <c r="D577" s="3" t="s">
        <v>1117</v>
      </c>
      <c r="E577" s="3" t="s">
        <v>1118</v>
      </c>
      <c r="F577" s="9" t="n">
        <v>4500</v>
      </c>
      <c r="G577" s="9"/>
      <c r="H577" s="9" t="n">
        <f aca="false">H576+G577-F577</f>
        <v>111818078.83</v>
      </c>
    </row>
    <row r="578" customFormat="false" ht="15" hidden="false" customHeight="false" outlineLevel="0" collapsed="false">
      <c r="A578" s="3" t="n">
        <v>570</v>
      </c>
      <c r="B578" s="8" t="n">
        <v>46022</v>
      </c>
      <c r="C578" s="8" t="n">
        <v>46022</v>
      </c>
      <c r="D578" s="3" t="s">
        <v>1119</v>
      </c>
      <c r="E578" s="3" t="s">
        <v>136</v>
      </c>
      <c r="F578" s="9" t="n">
        <v>4123.23</v>
      </c>
      <c r="G578" s="9"/>
      <c r="H578" s="9" t="n">
        <f aca="false">H577+G578-F578</f>
        <v>111813955.6</v>
      </c>
    </row>
    <row r="579" customFormat="false" ht="15" hidden="false" customHeight="false" outlineLevel="0" collapsed="false">
      <c r="A579" s="3" t="n">
        <v>571</v>
      </c>
      <c r="B579" s="8" t="n">
        <v>46022</v>
      </c>
      <c r="C579" s="8" t="n">
        <v>46022</v>
      </c>
      <c r="D579" s="3" t="s">
        <v>1120</v>
      </c>
      <c r="E579" s="3" t="s">
        <v>224</v>
      </c>
      <c r="F579" s="9" t="n">
        <v>300</v>
      </c>
      <c r="G579" s="9"/>
      <c r="H579" s="9" t="n">
        <f aca="false">H578+G579-F579</f>
        <v>111813655.6</v>
      </c>
    </row>
    <row r="580" customFormat="false" ht="15" hidden="false" customHeight="false" outlineLevel="0" collapsed="false">
      <c r="A580" s="3" t="n">
        <v>572</v>
      </c>
      <c r="B580" s="8" t="n">
        <v>46022</v>
      </c>
      <c r="C580" s="8" t="n">
        <v>46022</v>
      </c>
      <c r="D580" s="3" t="s">
        <v>1121</v>
      </c>
      <c r="E580" s="3" t="s">
        <v>140</v>
      </c>
      <c r="F580" s="9" t="n">
        <v>669.24</v>
      </c>
      <c r="G580" s="9"/>
      <c r="H580" s="9" t="n">
        <f aca="false">H579+G580-F580</f>
        <v>111812986.36</v>
      </c>
    </row>
    <row r="581" customFormat="false" ht="15" hidden="false" customHeight="false" outlineLevel="0" collapsed="false">
      <c r="A581" s="3" t="n">
        <v>573</v>
      </c>
      <c r="B581" s="8" t="n">
        <v>46022</v>
      </c>
      <c r="C581" s="8" t="n">
        <v>46022</v>
      </c>
      <c r="D581" s="3" t="s">
        <v>1122</v>
      </c>
      <c r="E581" s="3" t="s">
        <v>227</v>
      </c>
      <c r="F581" s="9" t="n">
        <v>900</v>
      </c>
      <c r="G581" s="9"/>
      <c r="H581" s="9" t="n">
        <f aca="false">H580+G581-F581</f>
        <v>111812086.36</v>
      </c>
    </row>
    <row r="583" customFormat="false" ht="15" hidden="false" customHeight="false" outlineLevel="0" collapsed="false">
      <c r="E583" s="2" t="s">
        <v>1123</v>
      </c>
      <c r="F583" s="6" t="n">
        <f aca="false">SUM(F9:F581)</f>
        <v>347129110.85</v>
      </c>
      <c r="G583" s="6" t="n">
        <f aca="false">SUM(G9:G581)</f>
        <v>446441197.21</v>
      </c>
      <c r="H583" s="6" t="n">
        <f aca="false">H581</f>
        <v>111812086.36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3" min="3" style="0" width="55"/>
    <col collapsed="false" customWidth="true" hidden="false" outlineLevel="0" max="5" min="4" style="0" width="17"/>
    <col collapsed="false" customWidth="true" hidden="false" outlineLevel="0" max="6" min="6" style="0" width="18"/>
  </cols>
  <sheetData>
    <row r="1" customFormat="false" ht="17.35" hidden="false" customHeight="false" outlineLevel="0" collapsed="false">
      <c r="A1" s="1" t="s">
        <v>1124</v>
      </c>
    </row>
    <row r="2" customFormat="false" ht="15" hidden="false" customHeight="false" outlineLevel="0" collapsed="false">
      <c r="A2" s="10" t="s">
        <v>1125</v>
      </c>
    </row>
    <row r="3" customFormat="false" ht="15" hidden="false" customHeight="false" outlineLevel="0" collapsed="false">
      <c r="A3" s="2" t="s">
        <v>1126</v>
      </c>
      <c r="F3" s="5" t="n">
        <v>12500000</v>
      </c>
    </row>
    <row r="5" customFormat="false" ht="30" hidden="false" customHeight="true" outlineLevel="0" collapsed="false">
      <c r="A5" s="7" t="s">
        <v>1127</v>
      </c>
      <c r="B5" s="7" t="s">
        <v>1128</v>
      </c>
      <c r="C5" s="7" t="s">
        <v>1129</v>
      </c>
      <c r="D5" s="7" t="s">
        <v>1130</v>
      </c>
      <c r="E5" s="7" t="s">
        <v>1131</v>
      </c>
      <c r="F5" s="7" t="s">
        <v>48</v>
      </c>
    </row>
    <row r="6" customFormat="false" ht="15" hidden="false" customHeight="false" outlineLevel="0" collapsed="false">
      <c r="A6" s="3" t="s">
        <v>1132</v>
      </c>
      <c r="B6" s="8" t="n">
        <v>45659</v>
      </c>
      <c r="C6" s="3" t="s">
        <v>1133</v>
      </c>
      <c r="D6" s="9" t="n">
        <v>2086200</v>
      </c>
      <c r="E6" s="9"/>
      <c r="F6" s="9" t="n">
        <f aca="false">$F$3+D6-E6</f>
        <v>14586200</v>
      </c>
    </row>
    <row r="7" customFormat="false" ht="15" hidden="false" customHeight="false" outlineLevel="0" collapsed="false">
      <c r="A7" s="3" t="s">
        <v>1134</v>
      </c>
      <c r="B7" s="8" t="n">
        <v>45659</v>
      </c>
      <c r="C7" s="3" t="s">
        <v>1135</v>
      </c>
      <c r="D7" s="9"/>
      <c r="E7" s="9" t="n">
        <v>7200000</v>
      </c>
      <c r="F7" s="9" t="n">
        <f aca="false">F6+D7-E7</f>
        <v>7386200</v>
      </c>
    </row>
    <row r="8" customFormat="false" ht="15" hidden="false" customHeight="false" outlineLevel="0" collapsed="false">
      <c r="A8" s="3" t="s">
        <v>1136</v>
      </c>
      <c r="B8" s="8" t="n">
        <v>45660</v>
      </c>
      <c r="C8" s="3" t="s">
        <v>1137</v>
      </c>
      <c r="D8" s="9" t="n">
        <v>2234000</v>
      </c>
      <c r="E8" s="9"/>
      <c r="F8" s="9" t="n">
        <f aca="false">F7+D8-E8</f>
        <v>9620200</v>
      </c>
    </row>
    <row r="9" customFormat="false" ht="15" hidden="false" customHeight="false" outlineLevel="0" collapsed="false">
      <c r="A9" s="3" t="s">
        <v>1138</v>
      </c>
      <c r="B9" s="8" t="n">
        <v>45660</v>
      </c>
      <c r="C9" s="3" t="s">
        <v>1139</v>
      </c>
      <c r="D9" s="9" t="n">
        <v>3586300</v>
      </c>
      <c r="E9" s="9"/>
      <c r="F9" s="9" t="n">
        <f aca="false">F8+D9-E9</f>
        <v>13206500</v>
      </c>
    </row>
    <row r="10" customFormat="false" ht="15" hidden="false" customHeight="false" outlineLevel="0" collapsed="false">
      <c r="A10" s="3" t="s">
        <v>1140</v>
      </c>
      <c r="B10" s="8" t="n">
        <v>45663</v>
      </c>
      <c r="C10" s="3" t="s">
        <v>1141</v>
      </c>
      <c r="D10" s="9" t="n">
        <v>3096700</v>
      </c>
      <c r="E10" s="9"/>
      <c r="F10" s="9" t="n">
        <f aca="false">F9+D10-E10</f>
        <v>16303200</v>
      </c>
    </row>
    <row r="11" customFormat="false" ht="15" hidden="false" customHeight="false" outlineLevel="0" collapsed="false">
      <c r="A11" s="3" t="s">
        <v>1142</v>
      </c>
      <c r="B11" s="8" t="n">
        <v>45663</v>
      </c>
      <c r="C11" s="3" t="s">
        <v>1143</v>
      </c>
      <c r="D11" s="9" t="n">
        <v>1564104.23</v>
      </c>
      <c r="E11" s="9"/>
      <c r="F11" s="9" t="n">
        <f aca="false">F10+D11-E11</f>
        <v>17867304.23</v>
      </c>
    </row>
    <row r="12" customFormat="false" ht="15" hidden="false" customHeight="false" outlineLevel="0" collapsed="false">
      <c r="A12" s="3" t="s">
        <v>1144</v>
      </c>
      <c r="B12" s="8" t="n">
        <v>45663</v>
      </c>
      <c r="C12" s="3" t="s">
        <v>1145</v>
      </c>
      <c r="D12" s="9"/>
      <c r="E12" s="9" t="n">
        <v>85000</v>
      </c>
      <c r="F12" s="9" t="n">
        <f aca="false">F11+D12-E12</f>
        <v>17782304.23</v>
      </c>
    </row>
    <row r="13" customFormat="false" ht="15" hidden="false" customHeight="false" outlineLevel="0" collapsed="false">
      <c r="A13" s="3" t="s">
        <v>1146</v>
      </c>
      <c r="B13" s="8" t="n">
        <v>45665</v>
      </c>
      <c r="C13" s="3" t="s">
        <v>1147</v>
      </c>
      <c r="D13" s="9" t="n">
        <v>1486100</v>
      </c>
      <c r="E13" s="9"/>
      <c r="F13" s="9" t="n">
        <f aca="false">F12+D13-E13</f>
        <v>19268404.23</v>
      </c>
    </row>
    <row r="14" customFormat="false" ht="15" hidden="false" customHeight="false" outlineLevel="0" collapsed="false">
      <c r="A14" s="3" t="s">
        <v>1148</v>
      </c>
      <c r="B14" s="8" t="n">
        <v>45665</v>
      </c>
      <c r="C14" s="3" t="s">
        <v>1149</v>
      </c>
      <c r="D14" s="9"/>
      <c r="E14" s="9" t="n">
        <v>1500000</v>
      </c>
      <c r="F14" s="9" t="n">
        <f aca="false">F13+D14-E14</f>
        <v>17768404.23</v>
      </c>
    </row>
    <row r="15" customFormat="false" ht="15" hidden="false" customHeight="false" outlineLevel="0" collapsed="false">
      <c r="A15" s="3" t="s">
        <v>1150</v>
      </c>
      <c r="B15" s="8" t="n">
        <v>45666</v>
      </c>
      <c r="C15" s="3" t="s">
        <v>1151</v>
      </c>
      <c r="D15" s="9" t="n">
        <v>780536.26</v>
      </c>
      <c r="E15" s="9"/>
      <c r="F15" s="9" t="n">
        <f aca="false">F14+D15-E15</f>
        <v>18548940.49</v>
      </c>
    </row>
    <row r="16" customFormat="false" ht="15" hidden="false" customHeight="false" outlineLevel="0" collapsed="false">
      <c r="A16" s="3" t="s">
        <v>1152</v>
      </c>
      <c r="B16" s="8" t="n">
        <v>45666</v>
      </c>
      <c r="C16" s="3" t="s">
        <v>1153</v>
      </c>
      <c r="D16" s="9"/>
      <c r="E16" s="9" t="n">
        <v>323833.15</v>
      </c>
      <c r="F16" s="9" t="n">
        <f aca="false">F15+D16-E16</f>
        <v>18225107.34</v>
      </c>
    </row>
    <row r="17" customFormat="false" ht="15" hidden="false" customHeight="false" outlineLevel="0" collapsed="false">
      <c r="A17" s="3" t="s">
        <v>1154</v>
      </c>
      <c r="B17" s="8" t="n">
        <v>45666</v>
      </c>
      <c r="C17" s="3" t="s">
        <v>1155</v>
      </c>
      <c r="D17" s="9" t="n">
        <v>2632600</v>
      </c>
      <c r="E17" s="9"/>
      <c r="F17" s="9" t="n">
        <f aca="false">F16+D17-E17</f>
        <v>20857707.34</v>
      </c>
    </row>
    <row r="18" customFormat="false" ht="15" hidden="false" customHeight="false" outlineLevel="0" collapsed="false">
      <c r="A18" s="3" t="s">
        <v>1156</v>
      </c>
      <c r="B18" s="8" t="n">
        <v>45667</v>
      </c>
      <c r="C18" s="3" t="s">
        <v>1157</v>
      </c>
      <c r="D18" s="9" t="n">
        <v>816396.53</v>
      </c>
      <c r="E18" s="9"/>
      <c r="F18" s="9" t="n">
        <f aca="false">F17+D18-E18</f>
        <v>21674103.87</v>
      </c>
    </row>
    <row r="19" customFormat="false" ht="15" hidden="false" customHeight="false" outlineLevel="0" collapsed="false">
      <c r="A19" s="3" t="s">
        <v>1158</v>
      </c>
      <c r="B19" s="8" t="n">
        <v>45667</v>
      </c>
      <c r="C19" s="3" t="s">
        <v>1159</v>
      </c>
      <c r="D19" s="9"/>
      <c r="E19" s="9" t="n">
        <v>450800</v>
      </c>
      <c r="F19" s="9" t="n">
        <f aca="false">F18+D19-E19</f>
        <v>21223303.87</v>
      </c>
    </row>
    <row r="20" customFormat="false" ht="15" hidden="false" customHeight="false" outlineLevel="0" collapsed="false">
      <c r="A20" s="3" t="s">
        <v>1160</v>
      </c>
      <c r="B20" s="8" t="n">
        <v>45667</v>
      </c>
      <c r="C20" s="3" t="s">
        <v>1153</v>
      </c>
      <c r="D20" s="9"/>
      <c r="E20" s="9" t="n">
        <v>284264.14</v>
      </c>
      <c r="F20" s="9" t="n">
        <f aca="false">F19+D20-E20</f>
        <v>20939039.73</v>
      </c>
    </row>
    <row r="21" customFormat="false" ht="15" hidden="false" customHeight="false" outlineLevel="0" collapsed="false">
      <c r="A21" s="3" t="s">
        <v>1161</v>
      </c>
      <c r="B21" s="8" t="n">
        <v>45667</v>
      </c>
      <c r="C21" s="3" t="s">
        <v>1162</v>
      </c>
      <c r="D21" s="9"/>
      <c r="E21" s="9" t="n">
        <v>828000</v>
      </c>
      <c r="F21" s="9" t="n">
        <f aca="false">F20+D21-E21</f>
        <v>20111039.73</v>
      </c>
    </row>
    <row r="22" customFormat="false" ht="15" hidden="false" customHeight="false" outlineLevel="0" collapsed="false">
      <c r="A22" s="3" t="s">
        <v>1163</v>
      </c>
      <c r="B22" s="8" t="n">
        <v>45670</v>
      </c>
      <c r="C22" s="3" t="s">
        <v>1143</v>
      </c>
      <c r="D22" s="9" t="n">
        <v>670841.79</v>
      </c>
      <c r="E22" s="9"/>
      <c r="F22" s="9" t="n">
        <f aca="false">F21+D22-E22</f>
        <v>20781881.52</v>
      </c>
    </row>
    <row r="23" customFormat="false" ht="15" hidden="false" customHeight="false" outlineLevel="0" collapsed="false">
      <c r="A23" s="3" t="s">
        <v>1164</v>
      </c>
      <c r="B23" s="8" t="n">
        <v>45670</v>
      </c>
      <c r="C23" s="3" t="s">
        <v>1165</v>
      </c>
      <c r="D23" s="9"/>
      <c r="E23" s="9" t="n">
        <v>1160500</v>
      </c>
      <c r="F23" s="9" t="n">
        <f aca="false">F22+D23-E23</f>
        <v>19621381.52</v>
      </c>
    </row>
    <row r="24" customFormat="false" ht="15" hidden="false" customHeight="false" outlineLevel="0" collapsed="false">
      <c r="A24" s="3" t="s">
        <v>1166</v>
      </c>
      <c r="B24" s="8" t="n">
        <v>45670</v>
      </c>
      <c r="C24" s="3" t="s">
        <v>1165</v>
      </c>
      <c r="D24" s="9"/>
      <c r="E24" s="9" t="n">
        <v>1951500</v>
      </c>
      <c r="F24" s="9" t="n">
        <f aca="false">F23+D24-E24</f>
        <v>17669881.52</v>
      </c>
    </row>
    <row r="25" customFormat="false" ht="15" hidden="false" customHeight="false" outlineLevel="0" collapsed="false">
      <c r="A25" s="3" t="s">
        <v>1167</v>
      </c>
      <c r="B25" s="8" t="n">
        <v>45670</v>
      </c>
      <c r="C25" s="3" t="s">
        <v>1168</v>
      </c>
      <c r="D25" s="9"/>
      <c r="E25" s="9" t="n">
        <v>199288.34</v>
      </c>
      <c r="F25" s="9" t="n">
        <f aca="false">F24+D25-E25</f>
        <v>17470593.18</v>
      </c>
    </row>
    <row r="26" customFormat="false" ht="15" hidden="false" customHeight="false" outlineLevel="0" collapsed="false">
      <c r="A26" s="3" t="s">
        <v>1169</v>
      </c>
      <c r="B26" s="8" t="n">
        <v>45671</v>
      </c>
      <c r="C26" s="3" t="s">
        <v>1170</v>
      </c>
      <c r="D26" s="9" t="n">
        <v>2195200</v>
      </c>
      <c r="E26" s="9"/>
      <c r="F26" s="9" t="n">
        <f aca="false">F25+D26-E26</f>
        <v>19665793.18</v>
      </c>
    </row>
    <row r="27" customFormat="false" ht="15" hidden="false" customHeight="false" outlineLevel="0" collapsed="false">
      <c r="A27" s="3" t="s">
        <v>1171</v>
      </c>
      <c r="B27" s="8" t="n">
        <v>45671</v>
      </c>
      <c r="C27" s="3" t="s">
        <v>1172</v>
      </c>
      <c r="D27" s="9"/>
      <c r="E27" s="9" t="n">
        <v>969100</v>
      </c>
      <c r="F27" s="9" t="n">
        <f aca="false">F26+D27-E27</f>
        <v>18696693.18</v>
      </c>
    </row>
    <row r="28" customFormat="false" ht="15" hidden="false" customHeight="false" outlineLevel="0" collapsed="false">
      <c r="A28" s="3" t="s">
        <v>1173</v>
      </c>
      <c r="B28" s="8" t="n">
        <v>45671</v>
      </c>
      <c r="C28" s="3" t="s">
        <v>1174</v>
      </c>
      <c r="D28" s="9"/>
      <c r="E28" s="9" t="n">
        <v>2830300</v>
      </c>
      <c r="F28" s="9" t="n">
        <f aca="false">F27+D28-E28</f>
        <v>15866393.18</v>
      </c>
    </row>
    <row r="29" customFormat="false" ht="15" hidden="false" customHeight="false" outlineLevel="0" collapsed="false">
      <c r="A29" s="3" t="s">
        <v>1175</v>
      </c>
      <c r="B29" s="8" t="n">
        <v>45671</v>
      </c>
      <c r="C29" s="3" t="s">
        <v>1176</v>
      </c>
      <c r="D29" s="9"/>
      <c r="E29" s="9" t="n">
        <v>209769.68</v>
      </c>
      <c r="F29" s="9" t="n">
        <f aca="false">F28+D29-E29</f>
        <v>15656623.5</v>
      </c>
    </row>
    <row r="30" customFormat="false" ht="15" hidden="false" customHeight="false" outlineLevel="0" collapsed="false">
      <c r="A30" s="3" t="s">
        <v>1177</v>
      </c>
      <c r="B30" s="8" t="n">
        <v>45671</v>
      </c>
      <c r="C30" s="3" t="s">
        <v>1157</v>
      </c>
      <c r="D30" s="9" t="n">
        <v>1335545</v>
      </c>
      <c r="E30" s="9"/>
      <c r="F30" s="9" t="n">
        <f aca="false">F29+D30-E30</f>
        <v>16992168.5</v>
      </c>
    </row>
    <row r="31" customFormat="false" ht="15" hidden="false" customHeight="false" outlineLevel="0" collapsed="false">
      <c r="A31" s="3" t="s">
        <v>1178</v>
      </c>
      <c r="B31" s="8" t="n">
        <v>45673</v>
      </c>
      <c r="C31" s="3" t="s">
        <v>1179</v>
      </c>
      <c r="D31" s="9"/>
      <c r="E31" s="9" t="n">
        <v>237700</v>
      </c>
      <c r="F31" s="9" t="n">
        <f aca="false">F30+D31-E31</f>
        <v>16754468.5</v>
      </c>
    </row>
    <row r="32" customFormat="false" ht="15" hidden="false" customHeight="false" outlineLevel="0" collapsed="false">
      <c r="A32" s="3" t="s">
        <v>1180</v>
      </c>
      <c r="B32" s="8" t="n">
        <v>45677</v>
      </c>
      <c r="C32" s="3" t="s">
        <v>1143</v>
      </c>
      <c r="D32" s="9" t="n">
        <v>1539349.64</v>
      </c>
      <c r="E32" s="9"/>
      <c r="F32" s="9" t="n">
        <f aca="false">F31+D32-E32</f>
        <v>18293818.14</v>
      </c>
    </row>
    <row r="33" customFormat="false" ht="15" hidden="false" customHeight="false" outlineLevel="0" collapsed="false">
      <c r="A33" s="3" t="s">
        <v>1181</v>
      </c>
      <c r="B33" s="8" t="n">
        <v>45677</v>
      </c>
      <c r="C33" s="3" t="s">
        <v>1182</v>
      </c>
      <c r="D33" s="9"/>
      <c r="E33" s="9" t="n">
        <v>1415000</v>
      </c>
      <c r="F33" s="9" t="n">
        <f aca="false">F32+D33-E33</f>
        <v>16878818.14</v>
      </c>
    </row>
    <row r="34" customFormat="false" ht="15" hidden="false" customHeight="false" outlineLevel="0" collapsed="false">
      <c r="A34" s="3" t="s">
        <v>1183</v>
      </c>
      <c r="B34" s="8" t="n">
        <v>45677</v>
      </c>
      <c r="C34" s="3" t="s">
        <v>1172</v>
      </c>
      <c r="D34" s="9"/>
      <c r="E34" s="9" t="n">
        <v>2041200</v>
      </c>
      <c r="F34" s="9" t="n">
        <f aca="false">F33+D34-E34</f>
        <v>14837618.14</v>
      </c>
    </row>
    <row r="35" customFormat="false" ht="15" hidden="false" customHeight="false" outlineLevel="0" collapsed="false">
      <c r="A35" s="3" t="s">
        <v>1184</v>
      </c>
      <c r="B35" s="8" t="n">
        <v>45677</v>
      </c>
      <c r="C35" s="3" t="s">
        <v>1176</v>
      </c>
      <c r="D35" s="9"/>
      <c r="E35" s="9" t="n">
        <v>232180.8</v>
      </c>
      <c r="F35" s="9" t="n">
        <f aca="false">F34+D35-E35</f>
        <v>14605437.34</v>
      </c>
    </row>
    <row r="36" customFormat="false" ht="15" hidden="false" customHeight="false" outlineLevel="0" collapsed="false">
      <c r="A36" s="3" t="s">
        <v>1185</v>
      </c>
      <c r="B36" s="8" t="n">
        <v>45678</v>
      </c>
      <c r="C36" s="3" t="s">
        <v>1157</v>
      </c>
      <c r="D36" s="9" t="n">
        <v>342680.91</v>
      </c>
      <c r="E36" s="9"/>
      <c r="F36" s="9" t="n">
        <f aca="false">F35+D36-E36</f>
        <v>14948118.25</v>
      </c>
    </row>
    <row r="37" customFormat="false" ht="15" hidden="false" customHeight="false" outlineLevel="0" collapsed="false">
      <c r="A37" s="3" t="s">
        <v>1186</v>
      </c>
      <c r="B37" s="8" t="n">
        <v>45678</v>
      </c>
      <c r="C37" s="3" t="s">
        <v>1187</v>
      </c>
      <c r="D37" s="9"/>
      <c r="E37" s="9" t="n">
        <v>865116.28</v>
      </c>
      <c r="F37" s="9" t="n">
        <f aca="false">F36+D37-E37</f>
        <v>14083001.97</v>
      </c>
    </row>
    <row r="38" customFormat="false" ht="15" hidden="false" customHeight="false" outlineLevel="0" collapsed="false">
      <c r="A38" s="3" t="s">
        <v>1188</v>
      </c>
      <c r="B38" s="8" t="n">
        <v>45678</v>
      </c>
      <c r="C38" s="3" t="s">
        <v>1189</v>
      </c>
      <c r="D38" s="9"/>
      <c r="E38" s="9" t="n">
        <v>413000</v>
      </c>
      <c r="F38" s="9" t="n">
        <f aca="false">F37+D38-E38</f>
        <v>13670001.97</v>
      </c>
    </row>
    <row r="39" customFormat="false" ht="15" hidden="false" customHeight="false" outlineLevel="0" collapsed="false">
      <c r="A39" s="3" t="s">
        <v>1190</v>
      </c>
      <c r="B39" s="8" t="n">
        <v>45679</v>
      </c>
      <c r="C39" s="3" t="s">
        <v>1191</v>
      </c>
      <c r="D39" s="9"/>
      <c r="E39" s="9" t="n">
        <v>185202.57</v>
      </c>
      <c r="F39" s="9" t="n">
        <f aca="false">F38+D39-E39</f>
        <v>13484799.4</v>
      </c>
    </row>
    <row r="40" customFormat="false" ht="15" hidden="false" customHeight="false" outlineLevel="0" collapsed="false">
      <c r="A40" s="3" t="s">
        <v>1192</v>
      </c>
      <c r="B40" s="8" t="n">
        <v>45680</v>
      </c>
      <c r="C40" s="3" t="s">
        <v>1151</v>
      </c>
      <c r="D40" s="9" t="n">
        <v>615346.61</v>
      </c>
      <c r="E40" s="9"/>
      <c r="F40" s="9" t="n">
        <f aca="false">F39+D40-E40</f>
        <v>14100146.01</v>
      </c>
    </row>
    <row r="41" customFormat="false" ht="15" hidden="false" customHeight="false" outlineLevel="0" collapsed="false">
      <c r="A41" s="3" t="s">
        <v>1193</v>
      </c>
      <c r="B41" s="8" t="n">
        <v>45680</v>
      </c>
      <c r="C41" s="3" t="s">
        <v>1153</v>
      </c>
      <c r="D41" s="9"/>
      <c r="E41" s="9" t="n">
        <v>255328.23</v>
      </c>
      <c r="F41" s="9" t="n">
        <f aca="false">F40+D41-E41</f>
        <v>13844817.78</v>
      </c>
    </row>
    <row r="42" customFormat="false" ht="15" hidden="false" customHeight="false" outlineLevel="0" collapsed="false">
      <c r="A42" s="3" t="s">
        <v>1194</v>
      </c>
      <c r="B42" s="8" t="n">
        <v>45680</v>
      </c>
      <c r="C42" s="3" t="s">
        <v>1153</v>
      </c>
      <c r="D42" s="9"/>
      <c r="E42" s="9" t="n">
        <v>304235.28</v>
      </c>
      <c r="F42" s="9" t="n">
        <f aca="false">F41+D42-E42</f>
        <v>13540582.5</v>
      </c>
    </row>
    <row r="43" customFormat="false" ht="15" hidden="false" customHeight="false" outlineLevel="0" collapsed="false">
      <c r="A43" s="3" t="s">
        <v>1195</v>
      </c>
      <c r="B43" s="8" t="n">
        <v>45681</v>
      </c>
      <c r="C43" s="3" t="s">
        <v>1196</v>
      </c>
      <c r="D43" s="9" t="n">
        <v>1558800</v>
      </c>
      <c r="E43" s="9"/>
      <c r="F43" s="9" t="n">
        <f aca="false">F42+D43-E43</f>
        <v>15099382.5</v>
      </c>
    </row>
    <row r="44" customFormat="false" ht="15" hidden="false" customHeight="false" outlineLevel="0" collapsed="false">
      <c r="A44" s="3" t="s">
        <v>1197</v>
      </c>
      <c r="B44" s="8" t="n">
        <v>45681</v>
      </c>
      <c r="C44" s="3" t="s">
        <v>1189</v>
      </c>
      <c r="D44" s="9"/>
      <c r="E44" s="9" t="n">
        <v>409000</v>
      </c>
      <c r="F44" s="9" t="n">
        <f aca="false">F43+D44-E44</f>
        <v>14690382.5</v>
      </c>
    </row>
    <row r="45" customFormat="false" ht="15" hidden="false" customHeight="false" outlineLevel="0" collapsed="false">
      <c r="A45" s="3" t="s">
        <v>1198</v>
      </c>
      <c r="B45" s="8" t="n">
        <v>45684</v>
      </c>
      <c r="C45" s="3" t="s">
        <v>1143</v>
      </c>
      <c r="D45" s="9" t="n">
        <v>1600196.44</v>
      </c>
      <c r="E45" s="9"/>
      <c r="F45" s="9" t="n">
        <f aca="false">F44+D45-E45</f>
        <v>16290578.94</v>
      </c>
    </row>
    <row r="46" customFormat="false" ht="15" hidden="false" customHeight="false" outlineLevel="0" collapsed="false">
      <c r="A46" s="3" t="s">
        <v>1199</v>
      </c>
      <c r="B46" s="8" t="n">
        <v>45684</v>
      </c>
      <c r="C46" s="3" t="s">
        <v>1200</v>
      </c>
      <c r="D46" s="9"/>
      <c r="E46" s="9" t="n">
        <v>3781200</v>
      </c>
      <c r="F46" s="9" t="n">
        <f aca="false">F45+D46-E46</f>
        <v>12509378.94</v>
      </c>
    </row>
    <row r="47" customFormat="false" ht="15" hidden="false" customHeight="false" outlineLevel="0" collapsed="false">
      <c r="A47" s="3" t="s">
        <v>1201</v>
      </c>
      <c r="B47" s="8" t="n">
        <v>45684</v>
      </c>
      <c r="C47" s="3" t="s">
        <v>1179</v>
      </c>
      <c r="D47" s="9"/>
      <c r="E47" s="9" t="n">
        <v>198600</v>
      </c>
      <c r="F47" s="9" t="n">
        <f aca="false">F46+D47-E47</f>
        <v>12310778.94</v>
      </c>
    </row>
    <row r="48" customFormat="false" ht="15" hidden="false" customHeight="false" outlineLevel="0" collapsed="false">
      <c r="A48" s="3" t="s">
        <v>1202</v>
      </c>
      <c r="B48" s="8" t="n">
        <v>45688</v>
      </c>
      <c r="C48" s="3" t="s">
        <v>1145</v>
      </c>
      <c r="D48" s="9"/>
      <c r="E48" s="9" t="n">
        <v>85000</v>
      </c>
      <c r="F48" s="9" t="n">
        <f aca="false">F47+D48-E48</f>
        <v>12225778.94</v>
      </c>
    </row>
    <row r="49" customFormat="false" ht="15" hidden="false" customHeight="false" outlineLevel="0" collapsed="false">
      <c r="A49" s="3" t="s">
        <v>1203</v>
      </c>
      <c r="B49" s="8" t="n">
        <v>45688</v>
      </c>
      <c r="C49" s="3" t="s">
        <v>1204</v>
      </c>
      <c r="D49" s="9"/>
      <c r="E49" s="9" t="n">
        <v>10612.07</v>
      </c>
      <c r="F49" s="9" t="n">
        <f aca="false">F48+D49-E49</f>
        <v>12215166.87</v>
      </c>
    </row>
    <row r="50" customFormat="false" ht="15" hidden="false" customHeight="false" outlineLevel="0" collapsed="false">
      <c r="A50" s="3" t="s">
        <v>1205</v>
      </c>
      <c r="B50" s="8" t="n">
        <v>45691</v>
      </c>
      <c r="C50" s="3" t="s">
        <v>1179</v>
      </c>
      <c r="D50" s="9"/>
      <c r="E50" s="9" t="n">
        <v>376100</v>
      </c>
      <c r="F50" s="9" t="n">
        <f aca="false">F49+D50-E50</f>
        <v>11839066.87</v>
      </c>
    </row>
    <row r="51" customFormat="false" ht="15" hidden="false" customHeight="false" outlineLevel="0" collapsed="false">
      <c r="A51" s="3" t="s">
        <v>1206</v>
      </c>
      <c r="B51" s="8" t="n">
        <v>45692</v>
      </c>
      <c r="C51" s="3" t="s">
        <v>1157</v>
      </c>
      <c r="D51" s="9" t="n">
        <v>1712436.71</v>
      </c>
      <c r="E51" s="9"/>
      <c r="F51" s="9" t="n">
        <f aca="false">F50+D51-E51</f>
        <v>13551503.58</v>
      </c>
    </row>
    <row r="52" customFormat="false" ht="15" hidden="false" customHeight="false" outlineLevel="0" collapsed="false">
      <c r="A52" s="3" t="s">
        <v>1207</v>
      </c>
      <c r="B52" s="8" t="n">
        <v>45693</v>
      </c>
      <c r="C52" s="3" t="s">
        <v>1208</v>
      </c>
      <c r="D52" s="9" t="n">
        <v>2071500</v>
      </c>
      <c r="E52" s="9"/>
      <c r="F52" s="9" t="n">
        <f aca="false">F51+D52-E52</f>
        <v>15623003.58</v>
      </c>
    </row>
    <row r="53" customFormat="false" ht="15" hidden="false" customHeight="false" outlineLevel="0" collapsed="false">
      <c r="A53" s="3" t="s">
        <v>1209</v>
      </c>
      <c r="B53" s="8" t="n">
        <v>45694</v>
      </c>
      <c r="C53" s="3" t="s">
        <v>1143</v>
      </c>
      <c r="D53" s="9" t="n">
        <v>1445169.14</v>
      </c>
      <c r="E53" s="9"/>
      <c r="F53" s="9" t="n">
        <f aca="false">F52+D53-E53</f>
        <v>17068172.72</v>
      </c>
    </row>
    <row r="54" customFormat="false" ht="15" hidden="false" customHeight="false" outlineLevel="0" collapsed="false">
      <c r="A54" s="3" t="s">
        <v>1210</v>
      </c>
      <c r="B54" s="8" t="n">
        <v>45694</v>
      </c>
      <c r="C54" s="3" t="s">
        <v>1151</v>
      </c>
      <c r="D54" s="9" t="n">
        <v>833153.64</v>
      </c>
      <c r="E54" s="9"/>
      <c r="F54" s="9" t="n">
        <f aca="false">F53+D54-E54</f>
        <v>17901326.36</v>
      </c>
    </row>
    <row r="55" customFormat="false" ht="15" hidden="false" customHeight="false" outlineLevel="0" collapsed="false">
      <c r="A55" s="3" t="s">
        <v>1211</v>
      </c>
      <c r="B55" s="8" t="n">
        <v>45695</v>
      </c>
      <c r="C55" s="3" t="s">
        <v>1212</v>
      </c>
      <c r="D55" s="9"/>
      <c r="E55" s="9" t="n">
        <v>2146800</v>
      </c>
      <c r="F55" s="9" t="n">
        <f aca="false">F54+D55-E55</f>
        <v>15754526.36</v>
      </c>
    </row>
    <row r="56" customFormat="false" ht="15" hidden="false" customHeight="false" outlineLevel="0" collapsed="false">
      <c r="A56" s="3" t="s">
        <v>1213</v>
      </c>
      <c r="B56" s="8" t="n">
        <v>45698</v>
      </c>
      <c r="C56" s="3" t="s">
        <v>1196</v>
      </c>
      <c r="D56" s="9" t="n">
        <v>4532000</v>
      </c>
      <c r="E56" s="9"/>
      <c r="F56" s="9" t="n">
        <f aca="false">F55+D56-E56</f>
        <v>20286526.36</v>
      </c>
    </row>
    <row r="57" customFormat="false" ht="15" hidden="false" customHeight="false" outlineLevel="0" collapsed="false">
      <c r="A57" s="3" t="s">
        <v>1214</v>
      </c>
      <c r="B57" s="8" t="n">
        <v>45698</v>
      </c>
      <c r="C57" s="3" t="s">
        <v>1215</v>
      </c>
      <c r="D57" s="9" t="n">
        <v>3417600</v>
      </c>
      <c r="E57" s="9"/>
      <c r="F57" s="9" t="n">
        <f aca="false">F56+D57-E57</f>
        <v>23704126.36</v>
      </c>
    </row>
    <row r="58" customFormat="false" ht="15" hidden="false" customHeight="false" outlineLevel="0" collapsed="false">
      <c r="A58" s="3" t="s">
        <v>1216</v>
      </c>
      <c r="B58" s="8" t="n">
        <v>45698</v>
      </c>
      <c r="C58" s="3" t="s">
        <v>1217</v>
      </c>
      <c r="D58" s="9" t="n">
        <v>3370500</v>
      </c>
      <c r="E58" s="9"/>
      <c r="F58" s="9" t="n">
        <f aca="false">F57+D58-E58</f>
        <v>27074626.36</v>
      </c>
    </row>
    <row r="59" customFormat="false" ht="15" hidden="false" customHeight="false" outlineLevel="0" collapsed="false">
      <c r="A59" s="3" t="s">
        <v>1218</v>
      </c>
      <c r="B59" s="8" t="n">
        <v>45698</v>
      </c>
      <c r="C59" s="3" t="s">
        <v>1219</v>
      </c>
      <c r="D59" s="9"/>
      <c r="E59" s="9" t="n">
        <v>450800</v>
      </c>
      <c r="F59" s="9" t="n">
        <f aca="false">F58+D59-E59</f>
        <v>26623826.36</v>
      </c>
    </row>
    <row r="60" customFormat="false" ht="15" hidden="false" customHeight="false" outlineLevel="0" collapsed="false">
      <c r="A60" s="3" t="s">
        <v>1220</v>
      </c>
      <c r="B60" s="8" t="n">
        <v>45698</v>
      </c>
      <c r="C60" s="3" t="s">
        <v>1179</v>
      </c>
      <c r="D60" s="9"/>
      <c r="E60" s="9" t="n">
        <v>245000</v>
      </c>
      <c r="F60" s="9" t="n">
        <f aca="false">F59+D60-E60</f>
        <v>26378826.36</v>
      </c>
    </row>
    <row r="61" customFormat="false" ht="15" hidden="false" customHeight="false" outlineLevel="0" collapsed="false">
      <c r="A61" s="3" t="s">
        <v>1221</v>
      </c>
      <c r="B61" s="8" t="n">
        <v>45698</v>
      </c>
      <c r="C61" s="3" t="s">
        <v>1153</v>
      </c>
      <c r="D61" s="9"/>
      <c r="E61" s="9" t="n">
        <v>130339.28</v>
      </c>
      <c r="F61" s="9" t="n">
        <f aca="false">F60+D61-E61</f>
        <v>26248487.08</v>
      </c>
    </row>
    <row r="62" customFormat="false" ht="15" hidden="false" customHeight="false" outlineLevel="0" collapsed="false">
      <c r="A62" s="3" t="s">
        <v>1222</v>
      </c>
      <c r="B62" s="8" t="n">
        <v>45698</v>
      </c>
      <c r="C62" s="3" t="s">
        <v>1189</v>
      </c>
      <c r="D62" s="9"/>
      <c r="E62" s="9" t="n">
        <v>686000</v>
      </c>
      <c r="F62" s="9" t="n">
        <f aca="false">F61+D62-E62</f>
        <v>25562487.08</v>
      </c>
    </row>
    <row r="63" customFormat="false" ht="15" hidden="false" customHeight="false" outlineLevel="0" collapsed="false">
      <c r="A63" s="3" t="s">
        <v>1223</v>
      </c>
      <c r="B63" s="8" t="n">
        <v>45699</v>
      </c>
      <c r="C63" s="3" t="s">
        <v>1224</v>
      </c>
      <c r="D63" s="9" t="n">
        <v>4055000</v>
      </c>
      <c r="E63" s="9"/>
      <c r="F63" s="9" t="n">
        <f aca="false">F62+D63-E63</f>
        <v>29617487.08</v>
      </c>
    </row>
    <row r="64" customFormat="false" ht="15" hidden="false" customHeight="false" outlineLevel="0" collapsed="false">
      <c r="A64" s="3" t="s">
        <v>1225</v>
      </c>
      <c r="B64" s="8" t="n">
        <v>45700</v>
      </c>
      <c r="C64" s="3" t="s">
        <v>1168</v>
      </c>
      <c r="D64" s="9"/>
      <c r="E64" s="9" t="n">
        <v>110856.42</v>
      </c>
      <c r="F64" s="9" t="n">
        <f aca="false">F63+D64-E64</f>
        <v>29506630.66</v>
      </c>
    </row>
    <row r="65" customFormat="false" ht="15" hidden="false" customHeight="false" outlineLevel="0" collapsed="false">
      <c r="A65" s="3" t="s">
        <v>1226</v>
      </c>
      <c r="B65" s="8" t="n">
        <v>45700</v>
      </c>
      <c r="C65" s="3" t="s">
        <v>1227</v>
      </c>
      <c r="D65" s="9"/>
      <c r="E65" s="9" t="n">
        <v>3500000</v>
      </c>
      <c r="F65" s="9" t="n">
        <f aca="false">F64+D65-E65</f>
        <v>26006630.66</v>
      </c>
    </row>
    <row r="66" customFormat="false" ht="15" hidden="false" customHeight="false" outlineLevel="0" collapsed="false">
      <c r="A66" s="3" t="s">
        <v>1228</v>
      </c>
      <c r="B66" s="8" t="n">
        <v>45701</v>
      </c>
      <c r="C66" s="3" t="s">
        <v>1143</v>
      </c>
      <c r="D66" s="9" t="n">
        <v>1081298.02</v>
      </c>
      <c r="E66" s="9"/>
      <c r="F66" s="9" t="n">
        <f aca="false">F65+D66-E66</f>
        <v>27087928.68</v>
      </c>
    </row>
    <row r="67" customFormat="false" ht="15" hidden="false" customHeight="false" outlineLevel="0" collapsed="false">
      <c r="A67" s="3" t="s">
        <v>1229</v>
      </c>
      <c r="B67" s="8" t="n">
        <v>45701</v>
      </c>
      <c r="C67" s="3" t="s">
        <v>1230</v>
      </c>
      <c r="D67" s="9"/>
      <c r="E67" s="9" t="n">
        <v>2556900</v>
      </c>
      <c r="F67" s="9" t="n">
        <f aca="false">F66+D67-E67</f>
        <v>24531028.68</v>
      </c>
    </row>
    <row r="68" customFormat="false" ht="15" hidden="false" customHeight="false" outlineLevel="0" collapsed="false">
      <c r="A68" s="3" t="s">
        <v>1231</v>
      </c>
      <c r="B68" s="8" t="n">
        <v>45701</v>
      </c>
      <c r="C68" s="3" t="s">
        <v>1176</v>
      </c>
      <c r="D68" s="9"/>
      <c r="E68" s="9" t="n">
        <v>181244.2</v>
      </c>
      <c r="F68" s="9" t="n">
        <f aca="false">F67+D68-E68</f>
        <v>24349784.48</v>
      </c>
    </row>
    <row r="69" customFormat="false" ht="15" hidden="false" customHeight="false" outlineLevel="0" collapsed="false">
      <c r="A69" s="3" t="s">
        <v>1232</v>
      </c>
      <c r="B69" s="8" t="n">
        <v>45701</v>
      </c>
      <c r="C69" s="3" t="s">
        <v>1233</v>
      </c>
      <c r="D69" s="9"/>
      <c r="E69" s="9" t="n">
        <v>828000</v>
      </c>
      <c r="F69" s="9" t="n">
        <f aca="false">F68+D69-E69</f>
        <v>23521784.48</v>
      </c>
    </row>
    <row r="70" customFormat="false" ht="15" hidden="false" customHeight="false" outlineLevel="0" collapsed="false">
      <c r="A70" s="3" t="s">
        <v>1234</v>
      </c>
      <c r="B70" s="8" t="n">
        <v>45702</v>
      </c>
      <c r="C70" s="3" t="s">
        <v>1235</v>
      </c>
      <c r="D70" s="9"/>
      <c r="E70" s="9" t="n">
        <v>1463100</v>
      </c>
      <c r="F70" s="9" t="n">
        <f aca="false">F69+D70-E70</f>
        <v>22058684.48</v>
      </c>
    </row>
    <row r="71" customFormat="false" ht="15" hidden="false" customHeight="false" outlineLevel="0" collapsed="false">
      <c r="A71" s="3" t="s">
        <v>1236</v>
      </c>
      <c r="B71" s="8" t="n">
        <v>45702</v>
      </c>
      <c r="C71" s="3" t="s">
        <v>1153</v>
      </c>
      <c r="D71" s="9"/>
      <c r="E71" s="9" t="n">
        <v>264332.37</v>
      </c>
      <c r="F71" s="9" t="n">
        <f aca="false">F70+D71-E71</f>
        <v>21794352.11</v>
      </c>
    </row>
    <row r="72" customFormat="false" ht="15" hidden="false" customHeight="false" outlineLevel="0" collapsed="false">
      <c r="A72" s="3" t="s">
        <v>1237</v>
      </c>
      <c r="B72" s="8" t="n">
        <v>45705</v>
      </c>
      <c r="C72" s="3" t="s">
        <v>1238</v>
      </c>
      <c r="D72" s="9" t="n">
        <v>5000000</v>
      </c>
      <c r="E72" s="9"/>
      <c r="F72" s="9" t="n">
        <f aca="false">F71+D72-E72</f>
        <v>26794352.11</v>
      </c>
    </row>
    <row r="73" customFormat="false" ht="15" hidden="false" customHeight="false" outlineLevel="0" collapsed="false">
      <c r="A73" s="3" t="s">
        <v>1239</v>
      </c>
      <c r="B73" s="8" t="n">
        <v>45706</v>
      </c>
      <c r="C73" s="3" t="s">
        <v>1157</v>
      </c>
      <c r="D73" s="9" t="n">
        <v>1115450.99</v>
      </c>
      <c r="E73" s="9"/>
      <c r="F73" s="9" t="n">
        <f aca="false">F72+D73-E73</f>
        <v>27909803.1</v>
      </c>
    </row>
    <row r="74" customFormat="false" ht="15" hidden="false" customHeight="false" outlineLevel="0" collapsed="false">
      <c r="A74" s="3" t="s">
        <v>1240</v>
      </c>
      <c r="B74" s="8" t="n">
        <v>45707</v>
      </c>
      <c r="C74" s="3" t="s">
        <v>1176</v>
      </c>
      <c r="D74" s="9"/>
      <c r="E74" s="9" t="n">
        <v>217100.87</v>
      </c>
      <c r="F74" s="9" t="n">
        <f aca="false">F73+D74-E74</f>
        <v>27692702.23</v>
      </c>
    </row>
    <row r="75" customFormat="false" ht="15" hidden="false" customHeight="false" outlineLevel="0" collapsed="false">
      <c r="A75" s="3" t="s">
        <v>1241</v>
      </c>
      <c r="B75" s="8" t="n">
        <v>45707</v>
      </c>
      <c r="C75" s="3" t="s">
        <v>1242</v>
      </c>
      <c r="D75" s="9"/>
      <c r="E75" s="9" t="n">
        <v>1217257.42</v>
      </c>
      <c r="F75" s="9" t="n">
        <f aca="false">F74+D75-E75</f>
        <v>26475444.81</v>
      </c>
    </row>
    <row r="76" customFormat="false" ht="15" hidden="false" customHeight="false" outlineLevel="0" collapsed="false">
      <c r="A76" s="3" t="s">
        <v>1243</v>
      </c>
      <c r="B76" s="8" t="n">
        <v>45708</v>
      </c>
      <c r="C76" s="3" t="s">
        <v>1143</v>
      </c>
      <c r="D76" s="9" t="n">
        <v>1603431.52</v>
      </c>
      <c r="E76" s="9"/>
      <c r="F76" s="9" t="n">
        <f aca="false">F75+D76-E76</f>
        <v>28078876.33</v>
      </c>
    </row>
    <row r="77" customFormat="false" ht="15" hidden="false" customHeight="false" outlineLevel="0" collapsed="false">
      <c r="A77" s="3" t="s">
        <v>1244</v>
      </c>
      <c r="B77" s="8" t="n">
        <v>45708</v>
      </c>
      <c r="C77" s="3" t="s">
        <v>1245</v>
      </c>
      <c r="D77" s="9"/>
      <c r="E77" s="9" t="n">
        <v>600000</v>
      </c>
      <c r="F77" s="9" t="n">
        <f aca="false">F76+D77-E77</f>
        <v>27478876.33</v>
      </c>
    </row>
    <row r="78" customFormat="false" ht="15" hidden="false" customHeight="false" outlineLevel="0" collapsed="false">
      <c r="A78" s="3" t="s">
        <v>1246</v>
      </c>
      <c r="B78" s="8" t="n">
        <v>45709</v>
      </c>
      <c r="C78" s="3" t="s">
        <v>1247</v>
      </c>
      <c r="D78" s="9" t="n">
        <v>2774400</v>
      </c>
      <c r="E78" s="9"/>
      <c r="F78" s="9" t="n">
        <f aca="false">F77+D78-E78</f>
        <v>30253276.33</v>
      </c>
    </row>
    <row r="79" customFormat="false" ht="15" hidden="false" customHeight="false" outlineLevel="0" collapsed="false">
      <c r="A79" s="3" t="s">
        <v>1248</v>
      </c>
      <c r="B79" s="8" t="n">
        <v>45709</v>
      </c>
      <c r="C79" s="3" t="s">
        <v>1249</v>
      </c>
      <c r="D79" s="9" t="n">
        <v>2325200</v>
      </c>
      <c r="E79" s="9"/>
      <c r="F79" s="9" t="n">
        <f aca="false">F78+D79-E79</f>
        <v>32578476.33</v>
      </c>
    </row>
    <row r="80" customFormat="false" ht="15" hidden="false" customHeight="false" outlineLevel="0" collapsed="false">
      <c r="A80" s="3" t="s">
        <v>1250</v>
      </c>
      <c r="B80" s="8" t="n">
        <v>45712</v>
      </c>
      <c r="C80" s="3" t="s">
        <v>1151</v>
      </c>
      <c r="D80" s="9" t="n">
        <v>577879.19</v>
      </c>
      <c r="E80" s="9"/>
      <c r="F80" s="9" t="n">
        <f aca="false">F79+D80-E80</f>
        <v>33156355.52</v>
      </c>
    </row>
    <row r="81" customFormat="false" ht="15" hidden="false" customHeight="false" outlineLevel="0" collapsed="false">
      <c r="A81" s="3" t="s">
        <v>1251</v>
      </c>
      <c r="B81" s="8" t="n">
        <v>45712</v>
      </c>
      <c r="C81" s="3" t="s">
        <v>1191</v>
      </c>
      <c r="D81" s="9"/>
      <c r="E81" s="9" t="n">
        <v>96669.86</v>
      </c>
      <c r="F81" s="9" t="n">
        <f aca="false">F80+D81-E81</f>
        <v>33059685.66</v>
      </c>
    </row>
    <row r="82" customFormat="false" ht="15" hidden="false" customHeight="false" outlineLevel="0" collapsed="false">
      <c r="A82" s="3" t="s">
        <v>1252</v>
      </c>
      <c r="B82" s="8" t="n">
        <v>45712</v>
      </c>
      <c r="C82" s="3" t="s">
        <v>1253</v>
      </c>
      <c r="D82" s="9"/>
      <c r="E82" s="9" t="n">
        <v>2335800</v>
      </c>
      <c r="F82" s="9" t="n">
        <f aca="false">F81+D82-E82</f>
        <v>30723885.66</v>
      </c>
    </row>
    <row r="83" customFormat="false" ht="15" hidden="false" customHeight="false" outlineLevel="0" collapsed="false">
      <c r="A83" s="3" t="s">
        <v>1254</v>
      </c>
      <c r="B83" s="8" t="n">
        <v>45713</v>
      </c>
      <c r="C83" s="3" t="s">
        <v>1255</v>
      </c>
      <c r="D83" s="9" t="n">
        <v>3450300</v>
      </c>
      <c r="E83" s="9"/>
      <c r="F83" s="9" t="n">
        <f aca="false">F82+D83-E83</f>
        <v>34174185.66</v>
      </c>
    </row>
    <row r="84" customFormat="false" ht="15" hidden="false" customHeight="false" outlineLevel="0" collapsed="false">
      <c r="A84" s="3" t="s">
        <v>1256</v>
      </c>
      <c r="B84" s="8" t="n">
        <v>45715</v>
      </c>
      <c r="C84" s="3" t="s">
        <v>1143</v>
      </c>
      <c r="D84" s="9" t="n">
        <v>1347294.17</v>
      </c>
      <c r="E84" s="9"/>
      <c r="F84" s="9" t="n">
        <f aca="false">F83+D84-E84</f>
        <v>35521479.83</v>
      </c>
    </row>
    <row r="85" customFormat="false" ht="15" hidden="false" customHeight="false" outlineLevel="0" collapsed="false">
      <c r="A85" s="3" t="s">
        <v>1257</v>
      </c>
      <c r="B85" s="8" t="n">
        <v>45715</v>
      </c>
      <c r="C85" s="3" t="s">
        <v>1258</v>
      </c>
      <c r="D85" s="9"/>
      <c r="E85" s="9" t="n">
        <v>3781200</v>
      </c>
      <c r="F85" s="9" t="n">
        <f aca="false">F84+D85-E85</f>
        <v>31740279.83</v>
      </c>
    </row>
    <row r="86" customFormat="false" ht="15" hidden="false" customHeight="false" outlineLevel="0" collapsed="false">
      <c r="A86" s="3" t="s">
        <v>1259</v>
      </c>
      <c r="B86" s="8" t="n">
        <v>45716</v>
      </c>
      <c r="C86" s="3" t="s">
        <v>1157</v>
      </c>
      <c r="D86" s="9" t="n">
        <v>449991.16</v>
      </c>
      <c r="E86" s="9"/>
      <c r="F86" s="9" t="n">
        <f aca="false">F85+D86-E86</f>
        <v>32190270.99</v>
      </c>
    </row>
    <row r="87" customFormat="false" ht="15" hidden="false" customHeight="false" outlineLevel="0" collapsed="false">
      <c r="A87" s="3" t="s">
        <v>1260</v>
      </c>
      <c r="B87" s="8" t="n">
        <v>45716</v>
      </c>
      <c r="C87" s="3" t="s">
        <v>1153</v>
      </c>
      <c r="D87" s="9"/>
      <c r="E87" s="9" t="n">
        <v>194057.56</v>
      </c>
      <c r="F87" s="9" t="n">
        <f aca="false">F86+D87-E87</f>
        <v>31996213.43</v>
      </c>
    </row>
    <row r="88" customFormat="false" ht="15" hidden="false" customHeight="false" outlineLevel="0" collapsed="false">
      <c r="A88" s="3" t="s">
        <v>1261</v>
      </c>
      <c r="B88" s="8" t="n">
        <v>45716</v>
      </c>
      <c r="C88" s="3" t="s">
        <v>1179</v>
      </c>
      <c r="D88" s="9"/>
      <c r="E88" s="9" t="n">
        <v>211000</v>
      </c>
      <c r="F88" s="9" t="n">
        <f aca="false">F87+D88-E88</f>
        <v>31785213.43</v>
      </c>
    </row>
    <row r="89" customFormat="false" ht="15" hidden="false" customHeight="false" outlineLevel="0" collapsed="false">
      <c r="A89" s="3" t="s">
        <v>1262</v>
      </c>
      <c r="B89" s="8" t="n">
        <v>45716</v>
      </c>
      <c r="C89" s="3" t="s">
        <v>1145</v>
      </c>
      <c r="D89" s="9"/>
      <c r="E89" s="9" t="n">
        <v>85000</v>
      </c>
      <c r="F89" s="9" t="n">
        <f aca="false">F88+D89-E89</f>
        <v>31700213.43</v>
      </c>
    </row>
    <row r="90" customFormat="false" ht="15" hidden="false" customHeight="false" outlineLevel="0" collapsed="false">
      <c r="A90" s="3" t="s">
        <v>1263</v>
      </c>
      <c r="B90" s="8" t="n">
        <v>45716</v>
      </c>
      <c r="C90" s="3" t="s">
        <v>1264</v>
      </c>
      <c r="D90" s="9"/>
      <c r="E90" s="9" t="n">
        <v>11135.64</v>
      </c>
      <c r="F90" s="9" t="n">
        <f aca="false">F89+D90-E90</f>
        <v>31689077.79</v>
      </c>
    </row>
    <row r="91" customFormat="false" ht="15" hidden="false" customHeight="false" outlineLevel="0" collapsed="false">
      <c r="A91" s="3" t="s">
        <v>1265</v>
      </c>
      <c r="B91" s="8" t="n">
        <v>45719</v>
      </c>
      <c r="C91" s="3" t="s">
        <v>1266</v>
      </c>
      <c r="D91" s="9" t="n">
        <v>1463500</v>
      </c>
      <c r="E91" s="9"/>
      <c r="F91" s="9" t="n">
        <f aca="false">F90+D91-E91</f>
        <v>33152577.79</v>
      </c>
    </row>
    <row r="92" customFormat="false" ht="15" hidden="false" customHeight="false" outlineLevel="0" collapsed="false">
      <c r="A92" s="3" t="s">
        <v>1267</v>
      </c>
      <c r="B92" s="8" t="n">
        <v>45721</v>
      </c>
      <c r="C92" s="3" t="s">
        <v>1268</v>
      </c>
      <c r="D92" s="9" t="n">
        <v>3249500</v>
      </c>
      <c r="E92" s="9"/>
      <c r="F92" s="9" t="n">
        <f aca="false">F91+D92-E92</f>
        <v>36402077.79</v>
      </c>
    </row>
    <row r="93" customFormat="false" ht="15" hidden="false" customHeight="false" outlineLevel="0" collapsed="false">
      <c r="A93" s="3" t="s">
        <v>1269</v>
      </c>
      <c r="B93" s="8" t="n">
        <v>45721</v>
      </c>
      <c r="C93" s="3" t="s">
        <v>1153</v>
      </c>
      <c r="D93" s="9"/>
      <c r="E93" s="9" t="n">
        <v>216549.7</v>
      </c>
      <c r="F93" s="9" t="n">
        <f aca="false">F92+D93-E93</f>
        <v>36185528.09</v>
      </c>
    </row>
    <row r="94" customFormat="false" ht="15" hidden="false" customHeight="false" outlineLevel="0" collapsed="false">
      <c r="A94" s="3" t="s">
        <v>1270</v>
      </c>
      <c r="B94" s="8" t="n">
        <v>45721</v>
      </c>
      <c r="C94" s="3" t="s">
        <v>1176</v>
      </c>
      <c r="D94" s="9"/>
      <c r="E94" s="9" t="n">
        <v>305873.48</v>
      </c>
      <c r="F94" s="9" t="n">
        <f aca="false">F93+D94-E94</f>
        <v>35879654.61</v>
      </c>
    </row>
    <row r="95" customFormat="false" ht="15" hidden="false" customHeight="false" outlineLevel="0" collapsed="false">
      <c r="A95" s="3" t="s">
        <v>1271</v>
      </c>
      <c r="B95" s="8" t="n">
        <v>45721</v>
      </c>
      <c r="C95" s="3" t="s">
        <v>1143</v>
      </c>
      <c r="D95" s="9" t="n">
        <v>1912292.87</v>
      </c>
      <c r="E95" s="9"/>
      <c r="F95" s="9" t="n">
        <f aca="false">F94+D95-E95</f>
        <v>37791947.48</v>
      </c>
    </row>
    <row r="96" customFormat="false" ht="15" hidden="false" customHeight="false" outlineLevel="0" collapsed="false">
      <c r="A96" s="3" t="s">
        <v>1272</v>
      </c>
      <c r="B96" s="8" t="n">
        <v>45721</v>
      </c>
      <c r="C96" s="3" t="s">
        <v>1273</v>
      </c>
      <c r="D96" s="9"/>
      <c r="E96" s="9" t="n">
        <v>200000</v>
      </c>
      <c r="F96" s="9" t="n">
        <f aca="false">F95+D96-E96</f>
        <v>37591947.48</v>
      </c>
    </row>
    <row r="97" customFormat="false" ht="15" hidden="false" customHeight="false" outlineLevel="0" collapsed="false">
      <c r="A97" s="3" t="s">
        <v>1274</v>
      </c>
      <c r="B97" s="8" t="n">
        <v>45722</v>
      </c>
      <c r="C97" s="3" t="s">
        <v>1275</v>
      </c>
      <c r="D97" s="9" t="n">
        <v>1250000</v>
      </c>
      <c r="E97" s="9"/>
      <c r="F97" s="9" t="n">
        <f aca="false">F96+D97-E97</f>
        <v>38841947.48</v>
      </c>
    </row>
    <row r="98" customFormat="false" ht="15" hidden="false" customHeight="false" outlineLevel="0" collapsed="false">
      <c r="A98" s="3" t="s">
        <v>1276</v>
      </c>
      <c r="B98" s="8" t="n">
        <v>45722</v>
      </c>
      <c r="C98" s="3" t="s">
        <v>1196</v>
      </c>
      <c r="D98" s="9" t="n">
        <v>1584900</v>
      </c>
      <c r="E98" s="9"/>
      <c r="F98" s="9" t="n">
        <f aca="false">F97+D98-E98</f>
        <v>40426847.48</v>
      </c>
    </row>
    <row r="99" customFormat="false" ht="15" hidden="false" customHeight="false" outlineLevel="0" collapsed="false">
      <c r="A99" s="3" t="s">
        <v>1277</v>
      </c>
      <c r="B99" s="8" t="n">
        <v>45722</v>
      </c>
      <c r="C99" s="3" t="s">
        <v>1278</v>
      </c>
      <c r="D99" s="9"/>
      <c r="E99" s="9" t="n">
        <v>15000</v>
      </c>
      <c r="F99" s="9" t="n">
        <f aca="false">F98+D99-E99</f>
        <v>40411847.48</v>
      </c>
    </row>
    <row r="100" customFormat="false" ht="15" hidden="false" customHeight="false" outlineLevel="0" collapsed="false">
      <c r="A100" s="3" t="s">
        <v>1279</v>
      </c>
      <c r="B100" s="8" t="n">
        <v>45723</v>
      </c>
      <c r="C100" s="3" t="s">
        <v>1168</v>
      </c>
      <c r="D100" s="9"/>
      <c r="E100" s="9" t="n">
        <v>218499.03</v>
      </c>
      <c r="F100" s="9" t="n">
        <f aca="false">F99+D100-E100</f>
        <v>40193348.45</v>
      </c>
    </row>
    <row r="101" customFormat="false" ht="15" hidden="false" customHeight="false" outlineLevel="0" collapsed="false">
      <c r="A101" s="3" t="s">
        <v>1280</v>
      </c>
      <c r="B101" s="8" t="n">
        <v>45726</v>
      </c>
      <c r="C101" s="3" t="s">
        <v>1281</v>
      </c>
      <c r="D101" s="9" t="n">
        <v>2186300</v>
      </c>
      <c r="E101" s="9"/>
      <c r="F101" s="9" t="n">
        <f aca="false">F100+D101-E101</f>
        <v>42379648.45</v>
      </c>
    </row>
    <row r="102" customFormat="false" ht="15" hidden="false" customHeight="false" outlineLevel="0" collapsed="false">
      <c r="A102" s="3" t="s">
        <v>1282</v>
      </c>
      <c r="B102" s="8" t="n">
        <v>45726</v>
      </c>
      <c r="C102" s="3" t="s">
        <v>1151</v>
      </c>
      <c r="D102" s="9" t="n">
        <v>655343.13</v>
      </c>
      <c r="E102" s="9"/>
      <c r="F102" s="9" t="n">
        <f aca="false">F101+D102-E102</f>
        <v>43034991.58</v>
      </c>
    </row>
    <row r="103" customFormat="false" ht="15" hidden="false" customHeight="false" outlineLevel="0" collapsed="false">
      <c r="A103" s="3" t="s">
        <v>1283</v>
      </c>
      <c r="B103" s="8" t="n">
        <v>45726</v>
      </c>
      <c r="C103" s="3" t="s">
        <v>1157</v>
      </c>
      <c r="D103" s="9" t="n">
        <v>1670172.55</v>
      </c>
      <c r="E103" s="9"/>
      <c r="F103" s="9" t="n">
        <f aca="false">F102+D103-E103</f>
        <v>44705164.13</v>
      </c>
    </row>
    <row r="104" customFormat="false" ht="15" hidden="false" customHeight="false" outlineLevel="0" collapsed="false">
      <c r="A104" s="3" t="s">
        <v>1284</v>
      </c>
      <c r="B104" s="8" t="n">
        <v>45726</v>
      </c>
      <c r="C104" s="3" t="s">
        <v>1285</v>
      </c>
      <c r="D104" s="9"/>
      <c r="E104" s="9" t="n">
        <v>450800</v>
      </c>
      <c r="F104" s="9" t="n">
        <f aca="false">F103+D104-E104</f>
        <v>44254364.13</v>
      </c>
    </row>
    <row r="105" customFormat="false" ht="15" hidden="false" customHeight="false" outlineLevel="0" collapsed="false">
      <c r="A105" s="3" t="s">
        <v>1286</v>
      </c>
      <c r="B105" s="8" t="n">
        <v>45726</v>
      </c>
      <c r="C105" s="3" t="s">
        <v>1189</v>
      </c>
      <c r="D105" s="9"/>
      <c r="E105" s="9" t="n">
        <v>618000</v>
      </c>
      <c r="F105" s="9" t="n">
        <f aca="false">F104+D105-E105</f>
        <v>43636364.13</v>
      </c>
    </row>
    <row r="106" customFormat="false" ht="15" hidden="false" customHeight="false" outlineLevel="0" collapsed="false">
      <c r="A106" s="3" t="s">
        <v>1287</v>
      </c>
      <c r="B106" s="8" t="n">
        <v>45726</v>
      </c>
      <c r="C106" s="3" t="s">
        <v>1288</v>
      </c>
      <c r="D106" s="9" t="n">
        <v>20000000</v>
      </c>
      <c r="E106" s="9"/>
      <c r="F106" s="9" t="n">
        <f aca="false">F105+D106-E106</f>
        <v>63636364.13</v>
      </c>
    </row>
    <row r="107" customFormat="false" ht="15" hidden="false" customHeight="false" outlineLevel="0" collapsed="false">
      <c r="A107" s="3" t="s">
        <v>1289</v>
      </c>
      <c r="B107" s="8" t="n">
        <v>45727</v>
      </c>
      <c r="C107" s="3" t="s">
        <v>1290</v>
      </c>
      <c r="D107" s="9" t="n">
        <v>1402600</v>
      </c>
      <c r="E107" s="9"/>
      <c r="F107" s="9" t="n">
        <f aca="false">F106+D107-E107</f>
        <v>65038964.13</v>
      </c>
    </row>
    <row r="108" customFormat="false" ht="15" hidden="false" customHeight="false" outlineLevel="0" collapsed="false">
      <c r="A108" s="3" t="s">
        <v>1291</v>
      </c>
      <c r="B108" s="8" t="n">
        <v>45728</v>
      </c>
      <c r="C108" s="3" t="s">
        <v>1230</v>
      </c>
      <c r="D108" s="9"/>
      <c r="E108" s="9" t="n">
        <v>2777700</v>
      </c>
      <c r="F108" s="9" t="n">
        <f aca="false">F107+D108-E108</f>
        <v>62261264.13</v>
      </c>
    </row>
    <row r="109" customFormat="false" ht="15" hidden="false" customHeight="false" outlineLevel="0" collapsed="false">
      <c r="A109" s="3" t="s">
        <v>1292</v>
      </c>
      <c r="B109" s="8" t="n">
        <v>45729</v>
      </c>
      <c r="C109" s="3" t="s">
        <v>1143</v>
      </c>
      <c r="D109" s="9" t="n">
        <v>2037735.19</v>
      </c>
      <c r="E109" s="9"/>
      <c r="F109" s="9" t="n">
        <f aca="false">F108+D109-E109</f>
        <v>64298999.32</v>
      </c>
    </row>
    <row r="110" customFormat="false" ht="15" hidden="false" customHeight="false" outlineLevel="0" collapsed="false">
      <c r="A110" s="3" t="s">
        <v>1293</v>
      </c>
      <c r="B110" s="8" t="n">
        <v>45729</v>
      </c>
      <c r="C110" s="3" t="s">
        <v>1235</v>
      </c>
      <c r="D110" s="9"/>
      <c r="E110" s="9" t="n">
        <v>1312600</v>
      </c>
      <c r="F110" s="9" t="n">
        <f aca="false">F109+D110-E110</f>
        <v>62986399.32</v>
      </c>
    </row>
    <row r="111" customFormat="false" ht="15" hidden="false" customHeight="false" outlineLevel="0" collapsed="false">
      <c r="A111" s="3" t="s">
        <v>1294</v>
      </c>
      <c r="B111" s="8" t="n">
        <v>45729</v>
      </c>
      <c r="C111" s="3" t="s">
        <v>1176</v>
      </c>
      <c r="D111" s="9"/>
      <c r="E111" s="9" t="n">
        <v>186791.34</v>
      </c>
      <c r="F111" s="9" t="n">
        <f aca="false">F110+D111-E111</f>
        <v>62799607.98</v>
      </c>
    </row>
    <row r="112" customFormat="false" ht="15" hidden="false" customHeight="false" outlineLevel="0" collapsed="false">
      <c r="A112" s="3" t="s">
        <v>1295</v>
      </c>
      <c r="B112" s="8" t="n">
        <v>45729</v>
      </c>
      <c r="C112" s="3" t="s">
        <v>1296</v>
      </c>
      <c r="D112" s="9"/>
      <c r="E112" s="9" t="n">
        <v>2400000</v>
      </c>
      <c r="F112" s="9" t="n">
        <f aca="false">F111+D112-E112</f>
        <v>60399607.98</v>
      </c>
    </row>
    <row r="113" customFormat="false" ht="15" hidden="false" customHeight="false" outlineLevel="0" collapsed="false">
      <c r="A113" s="3" t="s">
        <v>1297</v>
      </c>
      <c r="B113" s="8" t="n">
        <v>45730</v>
      </c>
      <c r="C113" s="3" t="s">
        <v>1298</v>
      </c>
      <c r="D113" s="9"/>
      <c r="E113" s="9" t="n">
        <v>347600</v>
      </c>
      <c r="F113" s="9" t="n">
        <f aca="false">F112+D113-E113</f>
        <v>60052007.98</v>
      </c>
    </row>
    <row r="114" customFormat="false" ht="15" hidden="false" customHeight="false" outlineLevel="0" collapsed="false">
      <c r="A114" s="3" t="s">
        <v>1299</v>
      </c>
      <c r="B114" s="8" t="n">
        <v>45733</v>
      </c>
      <c r="C114" s="3" t="s">
        <v>1157</v>
      </c>
      <c r="D114" s="9" t="n">
        <v>492310.18</v>
      </c>
      <c r="E114" s="9"/>
      <c r="F114" s="9" t="n">
        <f aca="false">F113+D114-E114</f>
        <v>60544318.16</v>
      </c>
    </row>
    <row r="115" customFormat="false" ht="15" hidden="false" customHeight="false" outlineLevel="0" collapsed="false">
      <c r="A115" s="3" t="s">
        <v>1300</v>
      </c>
      <c r="B115" s="8" t="n">
        <v>45733</v>
      </c>
      <c r="C115" s="3" t="s">
        <v>1301</v>
      </c>
      <c r="D115" s="9"/>
      <c r="E115" s="9" t="n">
        <v>828000</v>
      </c>
      <c r="F115" s="9" t="n">
        <f aca="false">F114+D115-E115</f>
        <v>59716318.16</v>
      </c>
    </row>
    <row r="116" customFormat="false" ht="15" hidden="false" customHeight="false" outlineLevel="0" collapsed="false">
      <c r="A116" s="3" t="s">
        <v>1302</v>
      </c>
      <c r="B116" s="8" t="n">
        <v>45733</v>
      </c>
      <c r="C116" s="3" t="s">
        <v>1153</v>
      </c>
      <c r="D116" s="9"/>
      <c r="E116" s="9" t="n">
        <v>219146.92</v>
      </c>
      <c r="F116" s="9" t="n">
        <f aca="false">F115+D116-E116</f>
        <v>59497171.24</v>
      </c>
    </row>
    <row r="117" customFormat="false" ht="15" hidden="false" customHeight="false" outlineLevel="0" collapsed="false">
      <c r="A117" s="3" t="s">
        <v>1303</v>
      </c>
      <c r="B117" s="8" t="n">
        <v>45734</v>
      </c>
      <c r="C117" s="3" t="s">
        <v>1153</v>
      </c>
      <c r="D117" s="9"/>
      <c r="E117" s="9" t="n">
        <v>303220.82</v>
      </c>
      <c r="F117" s="9" t="n">
        <f aca="false">F116+D117-E117</f>
        <v>59193950.42</v>
      </c>
    </row>
    <row r="118" customFormat="false" ht="15" hidden="false" customHeight="false" outlineLevel="0" collapsed="false">
      <c r="A118" s="3" t="s">
        <v>1304</v>
      </c>
      <c r="B118" s="8" t="n">
        <v>45734</v>
      </c>
      <c r="C118" s="3" t="s">
        <v>1305</v>
      </c>
      <c r="D118" s="9"/>
      <c r="E118" s="9" t="n">
        <v>1564242.89</v>
      </c>
      <c r="F118" s="9" t="n">
        <f aca="false">F117+D118-E118</f>
        <v>57629707.53</v>
      </c>
    </row>
    <row r="119" customFormat="false" ht="15" hidden="false" customHeight="false" outlineLevel="0" collapsed="false">
      <c r="A119" s="3" t="s">
        <v>1306</v>
      </c>
      <c r="B119" s="8" t="n">
        <v>45735</v>
      </c>
      <c r="C119" s="3" t="s">
        <v>1307</v>
      </c>
      <c r="D119" s="9" t="n">
        <v>1254000</v>
      </c>
      <c r="E119" s="9"/>
      <c r="F119" s="9" t="n">
        <f aca="false">F118+D119-E119</f>
        <v>58883707.53</v>
      </c>
    </row>
    <row r="120" customFormat="false" ht="15" hidden="false" customHeight="false" outlineLevel="0" collapsed="false">
      <c r="A120" s="3" t="s">
        <v>1308</v>
      </c>
      <c r="B120" s="8" t="n">
        <v>45736</v>
      </c>
      <c r="C120" s="3" t="s">
        <v>1309</v>
      </c>
      <c r="D120" s="9" t="n">
        <v>2901400</v>
      </c>
      <c r="E120" s="9"/>
      <c r="F120" s="9" t="n">
        <f aca="false">F119+D120-E120</f>
        <v>61785107.53</v>
      </c>
    </row>
    <row r="121" customFormat="false" ht="15" hidden="false" customHeight="false" outlineLevel="0" collapsed="false">
      <c r="A121" s="3" t="s">
        <v>1310</v>
      </c>
      <c r="B121" s="8" t="n">
        <v>45736</v>
      </c>
      <c r="C121" s="3" t="s">
        <v>1143</v>
      </c>
      <c r="D121" s="9" t="n">
        <v>1523228.71</v>
      </c>
      <c r="E121" s="9"/>
      <c r="F121" s="9" t="n">
        <f aca="false">F120+D121-E121</f>
        <v>63308336.24</v>
      </c>
    </row>
    <row r="122" customFormat="false" ht="15" hidden="false" customHeight="false" outlineLevel="0" collapsed="false">
      <c r="A122" s="3" t="s">
        <v>1311</v>
      </c>
      <c r="B122" s="8" t="n">
        <v>45737</v>
      </c>
      <c r="C122" s="3" t="s">
        <v>1312</v>
      </c>
      <c r="D122" s="9" t="n">
        <v>1443100</v>
      </c>
      <c r="E122" s="9"/>
      <c r="F122" s="9" t="n">
        <f aca="false">F121+D122-E122</f>
        <v>64751436.24</v>
      </c>
    </row>
    <row r="123" customFormat="false" ht="15" hidden="false" customHeight="false" outlineLevel="0" collapsed="false">
      <c r="A123" s="3" t="s">
        <v>1313</v>
      </c>
      <c r="B123" s="8" t="n">
        <v>45740</v>
      </c>
      <c r="C123" s="3" t="s">
        <v>1196</v>
      </c>
      <c r="D123" s="9" t="n">
        <v>1343400</v>
      </c>
      <c r="E123" s="9"/>
      <c r="F123" s="9" t="n">
        <f aca="false">F122+D123-E123</f>
        <v>66094836.24</v>
      </c>
    </row>
    <row r="124" customFormat="false" ht="15" hidden="false" customHeight="false" outlineLevel="0" collapsed="false">
      <c r="A124" s="3" t="s">
        <v>1314</v>
      </c>
      <c r="B124" s="8" t="n">
        <v>45740</v>
      </c>
      <c r="C124" s="3" t="s">
        <v>1151</v>
      </c>
      <c r="D124" s="9" t="n">
        <v>801486.49</v>
      </c>
      <c r="E124" s="9"/>
      <c r="F124" s="9" t="n">
        <f aca="false">F123+D124-E124</f>
        <v>66896322.73</v>
      </c>
    </row>
    <row r="125" customFormat="false" ht="15" hidden="false" customHeight="false" outlineLevel="0" collapsed="false">
      <c r="A125" s="3" t="s">
        <v>1315</v>
      </c>
      <c r="B125" s="8" t="n">
        <v>45740</v>
      </c>
      <c r="C125" s="3" t="s">
        <v>1157</v>
      </c>
      <c r="D125" s="9" t="n">
        <v>1175012.51</v>
      </c>
      <c r="E125" s="9"/>
      <c r="F125" s="9" t="n">
        <f aca="false">F124+D125-E125</f>
        <v>68071335.24</v>
      </c>
    </row>
    <row r="126" customFormat="false" ht="15" hidden="false" customHeight="false" outlineLevel="0" collapsed="false">
      <c r="A126" s="3" t="s">
        <v>1316</v>
      </c>
      <c r="B126" s="8" t="n">
        <v>45740</v>
      </c>
      <c r="C126" s="3" t="s">
        <v>1235</v>
      </c>
      <c r="D126" s="9"/>
      <c r="E126" s="9" t="n">
        <v>974200</v>
      </c>
      <c r="F126" s="9" t="n">
        <f aca="false">F125+D126-E126</f>
        <v>67097135.24</v>
      </c>
    </row>
    <row r="127" customFormat="false" ht="15" hidden="false" customHeight="false" outlineLevel="0" collapsed="false">
      <c r="A127" s="3" t="s">
        <v>1317</v>
      </c>
      <c r="B127" s="8" t="n">
        <v>45740</v>
      </c>
      <c r="C127" s="3" t="s">
        <v>1191</v>
      </c>
      <c r="D127" s="9"/>
      <c r="E127" s="9" t="n">
        <v>106848.83</v>
      </c>
      <c r="F127" s="9" t="n">
        <f aca="false">F126+D127-E127</f>
        <v>66990286.41</v>
      </c>
    </row>
    <row r="128" customFormat="false" ht="15" hidden="false" customHeight="false" outlineLevel="0" collapsed="false">
      <c r="A128" s="3" t="s">
        <v>1318</v>
      </c>
      <c r="B128" s="8" t="n">
        <v>45740</v>
      </c>
      <c r="C128" s="3" t="s">
        <v>1179</v>
      </c>
      <c r="D128" s="9"/>
      <c r="E128" s="9" t="n">
        <v>194100</v>
      </c>
      <c r="F128" s="9" t="n">
        <f aca="false">F127+D128-E128</f>
        <v>66796186.41</v>
      </c>
    </row>
    <row r="129" customFormat="false" ht="15" hidden="false" customHeight="false" outlineLevel="0" collapsed="false">
      <c r="A129" s="3" t="s">
        <v>1319</v>
      </c>
      <c r="B129" s="8" t="n">
        <v>45740</v>
      </c>
      <c r="C129" s="3" t="s">
        <v>1189</v>
      </c>
      <c r="D129" s="9"/>
      <c r="E129" s="9" t="n">
        <v>543000</v>
      </c>
      <c r="F129" s="9" t="n">
        <f aca="false">F128+D129-E129</f>
        <v>66253186.41</v>
      </c>
    </row>
    <row r="130" customFormat="false" ht="15" hidden="false" customHeight="false" outlineLevel="0" collapsed="false">
      <c r="A130" s="3" t="s">
        <v>1320</v>
      </c>
      <c r="B130" s="8" t="n">
        <v>45741</v>
      </c>
      <c r="C130" s="3" t="s">
        <v>1321</v>
      </c>
      <c r="D130" s="9"/>
      <c r="E130" s="9" t="n">
        <v>2450500</v>
      </c>
      <c r="F130" s="9" t="n">
        <f aca="false">F129+D130-E130</f>
        <v>63802686.41</v>
      </c>
    </row>
    <row r="131" customFormat="false" ht="15" hidden="false" customHeight="false" outlineLevel="0" collapsed="false">
      <c r="A131" s="3" t="s">
        <v>1322</v>
      </c>
      <c r="B131" s="8" t="n">
        <v>45743</v>
      </c>
      <c r="C131" s="3" t="s">
        <v>1143</v>
      </c>
      <c r="D131" s="9" t="n">
        <v>975629.48</v>
      </c>
      <c r="E131" s="9"/>
      <c r="F131" s="9" t="n">
        <f aca="false">F130+D131-E131</f>
        <v>64778315.89</v>
      </c>
    </row>
    <row r="132" customFormat="false" ht="15" hidden="false" customHeight="false" outlineLevel="0" collapsed="false">
      <c r="A132" s="3" t="s">
        <v>1323</v>
      </c>
      <c r="B132" s="8" t="n">
        <v>45743</v>
      </c>
      <c r="C132" s="3" t="s">
        <v>1324</v>
      </c>
      <c r="D132" s="9"/>
      <c r="E132" s="9" t="n">
        <v>3781200</v>
      </c>
      <c r="F132" s="9" t="n">
        <f aca="false">F131+D132-E132</f>
        <v>60997115.89</v>
      </c>
    </row>
    <row r="133" customFormat="false" ht="15" hidden="false" customHeight="false" outlineLevel="0" collapsed="false">
      <c r="A133" s="3" t="s">
        <v>1325</v>
      </c>
      <c r="B133" s="8" t="n">
        <v>45744</v>
      </c>
      <c r="C133" s="3" t="s">
        <v>1326</v>
      </c>
      <c r="D133" s="9"/>
      <c r="E133" s="9" t="n">
        <v>3427900</v>
      </c>
      <c r="F133" s="9" t="n">
        <f aca="false">F132+D133-E133</f>
        <v>57569215.89</v>
      </c>
    </row>
    <row r="134" customFormat="false" ht="15" hidden="false" customHeight="false" outlineLevel="0" collapsed="false">
      <c r="A134" s="3" t="s">
        <v>1327</v>
      </c>
      <c r="B134" s="8" t="n">
        <v>45747</v>
      </c>
      <c r="C134" s="3" t="s">
        <v>1179</v>
      </c>
      <c r="D134" s="9"/>
      <c r="E134" s="9" t="n">
        <v>310800</v>
      </c>
      <c r="F134" s="9" t="n">
        <f aca="false">F133+D134-E134</f>
        <v>57258415.89</v>
      </c>
    </row>
    <row r="135" customFormat="false" ht="15" hidden="false" customHeight="false" outlineLevel="0" collapsed="false">
      <c r="A135" s="3" t="s">
        <v>1328</v>
      </c>
      <c r="B135" s="8" t="n">
        <v>45747</v>
      </c>
      <c r="C135" s="3" t="s">
        <v>1329</v>
      </c>
      <c r="D135" s="9"/>
      <c r="E135" s="9" t="n">
        <v>10613.57</v>
      </c>
      <c r="F135" s="9" t="n">
        <f aca="false">F134+D135-E135</f>
        <v>57247802.32</v>
      </c>
    </row>
    <row r="136" customFormat="false" ht="15" hidden="false" customHeight="false" outlineLevel="0" collapsed="false">
      <c r="A136" s="3" t="s">
        <v>1330</v>
      </c>
      <c r="B136" s="8" t="n">
        <v>45750</v>
      </c>
      <c r="C136" s="3" t="s">
        <v>1331</v>
      </c>
      <c r="D136" s="9" t="n">
        <v>4575000</v>
      </c>
      <c r="E136" s="9"/>
      <c r="F136" s="9" t="n">
        <f aca="false">F135+D136-E136</f>
        <v>61822802.32</v>
      </c>
    </row>
    <row r="137" customFormat="false" ht="15" hidden="false" customHeight="false" outlineLevel="0" collapsed="false">
      <c r="A137" s="3" t="s">
        <v>1332</v>
      </c>
      <c r="B137" s="8" t="n">
        <v>45750</v>
      </c>
      <c r="C137" s="3" t="s">
        <v>1333</v>
      </c>
      <c r="D137" s="9" t="n">
        <v>2307300</v>
      </c>
      <c r="E137" s="9"/>
      <c r="F137" s="9" t="n">
        <f aca="false">F136+D137-E137</f>
        <v>64130102.32</v>
      </c>
    </row>
    <row r="138" customFormat="false" ht="15" hidden="false" customHeight="false" outlineLevel="0" collapsed="false">
      <c r="A138" s="3" t="s">
        <v>1334</v>
      </c>
      <c r="B138" s="8" t="n">
        <v>45750</v>
      </c>
      <c r="C138" s="3" t="s">
        <v>1212</v>
      </c>
      <c r="D138" s="9"/>
      <c r="E138" s="9" t="n">
        <v>3673800</v>
      </c>
      <c r="F138" s="9" t="n">
        <f aca="false">F137+D138-E138</f>
        <v>60456302.32</v>
      </c>
    </row>
    <row r="139" customFormat="false" ht="15" hidden="false" customHeight="false" outlineLevel="0" collapsed="false">
      <c r="A139" s="3" t="s">
        <v>1335</v>
      </c>
      <c r="B139" s="8" t="n">
        <v>45754</v>
      </c>
      <c r="C139" s="3" t="s">
        <v>1143</v>
      </c>
      <c r="D139" s="9" t="n">
        <v>1780949.08</v>
      </c>
      <c r="E139" s="9"/>
      <c r="F139" s="9" t="n">
        <f aca="false">F138+D139-E139</f>
        <v>62237251.4</v>
      </c>
    </row>
    <row r="140" customFormat="false" ht="15" hidden="false" customHeight="false" outlineLevel="0" collapsed="false">
      <c r="A140" s="3" t="s">
        <v>1336</v>
      </c>
      <c r="B140" s="8" t="n">
        <v>45754</v>
      </c>
      <c r="C140" s="3" t="s">
        <v>1145</v>
      </c>
      <c r="D140" s="9"/>
      <c r="E140" s="9" t="n">
        <v>85000</v>
      </c>
      <c r="F140" s="9" t="n">
        <f aca="false">F139+D140-E140</f>
        <v>62152251.4</v>
      </c>
    </row>
    <row r="141" customFormat="false" ht="15" hidden="false" customHeight="false" outlineLevel="0" collapsed="false">
      <c r="A141" s="3" t="s">
        <v>1337</v>
      </c>
      <c r="B141" s="8" t="n">
        <v>45754</v>
      </c>
      <c r="C141" s="3" t="s">
        <v>1338</v>
      </c>
      <c r="D141" s="9"/>
      <c r="E141" s="9" t="n">
        <v>1500000</v>
      </c>
      <c r="F141" s="9" t="n">
        <f aca="false">F140+D141-E141</f>
        <v>60652251.4</v>
      </c>
    </row>
    <row r="142" customFormat="false" ht="15" hidden="false" customHeight="false" outlineLevel="0" collapsed="false">
      <c r="A142" s="3" t="s">
        <v>1339</v>
      </c>
      <c r="B142" s="8" t="n">
        <v>45755</v>
      </c>
      <c r="C142" s="3" t="s">
        <v>1153</v>
      </c>
      <c r="D142" s="9"/>
      <c r="E142" s="9" t="n">
        <v>189737.86</v>
      </c>
      <c r="F142" s="9" t="n">
        <f aca="false">F141+D142-E142</f>
        <v>60462513.54</v>
      </c>
    </row>
    <row r="143" customFormat="false" ht="15" hidden="false" customHeight="false" outlineLevel="0" collapsed="false">
      <c r="A143" s="3" t="s">
        <v>1340</v>
      </c>
      <c r="B143" s="8" t="n">
        <v>45755</v>
      </c>
      <c r="C143" s="3" t="s">
        <v>1341</v>
      </c>
      <c r="D143" s="9"/>
      <c r="E143" s="9" t="n">
        <v>1699100</v>
      </c>
      <c r="F143" s="9" t="n">
        <f aca="false">F142+D143-E143</f>
        <v>58763413.54</v>
      </c>
    </row>
    <row r="144" customFormat="false" ht="15" hidden="false" customHeight="false" outlineLevel="0" collapsed="false">
      <c r="A144" s="3" t="s">
        <v>1342</v>
      </c>
      <c r="B144" s="8" t="n">
        <v>45756</v>
      </c>
      <c r="C144" s="3" t="s">
        <v>1151</v>
      </c>
      <c r="D144" s="9" t="n">
        <v>874005.16</v>
      </c>
      <c r="E144" s="9"/>
      <c r="F144" s="9" t="n">
        <f aca="false">F143+D144-E144</f>
        <v>59637418.7</v>
      </c>
    </row>
    <row r="145" customFormat="false" ht="15" hidden="false" customHeight="false" outlineLevel="0" collapsed="false">
      <c r="A145" s="3" t="s">
        <v>1343</v>
      </c>
      <c r="B145" s="8" t="n">
        <v>45756</v>
      </c>
      <c r="C145" s="3" t="s">
        <v>1344</v>
      </c>
      <c r="D145" s="9"/>
      <c r="E145" s="9" t="n">
        <v>450000</v>
      </c>
      <c r="F145" s="9" t="n">
        <f aca="false">F144+D145-E145</f>
        <v>59187418.7</v>
      </c>
    </row>
    <row r="146" customFormat="false" ht="15" hidden="false" customHeight="false" outlineLevel="0" collapsed="false">
      <c r="A146" s="3" t="s">
        <v>1345</v>
      </c>
      <c r="B146" s="8" t="n">
        <v>45757</v>
      </c>
      <c r="C146" s="3" t="s">
        <v>1346</v>
      </c>
      <c r="D146" s="9"/>
      <c r="E146" s="9" t="n">
        <v>450800</v>
      </c>
      <c r="F146" s="9" t="n">
        <f aca="false">F145+D146-E146</f>
        <v>58736618.7</v>
      </c>
    </row>
    <row r="147" customFormat="false" ht="15" hidden="false" customHeight="false" outlineLevel="0" collapsed="false">
      <c r="A147" s="3" t="s">
        <v>1347</v>
      </c>
      <c r="B147" s="8" t="n">
        <v>45757</v>
      </c>
      <c r="C147" s="3" t="s">
        <v>1189</v>
      </c>
      <c r="D147" s="9"/>
      <c r="E147" s="9" t="n">
        <v>417000</v>
      </c>
      <c r="F147" s="9" t="n">
        <f aca="false">F146+D147-E147</f>
        <v>58319618.7</v>
      </c>
    </row>
    <row r="148" customFormat="false" ht="15" hidden="false" customHeight="false" outlineLevel="0" collapsed="false">
      <c r="A148" s="3" t="s">
        <v>1348</v>
      </c>
      <c r="B148" s="8" t="n">
        <v>45757</v>
      </c>
      <c r="C148" s="3" t="s">
        <v>1349</v>
      </c>
      <c r="D148" s="9"/>
      <c r="E148" s="9" t="n">
        <v>1057421.95</v>
      </c>
      <c r="F148" s="9" t="n">
        <f aca="false">F147+D148-E148</f>
        <v>57262196.75</v>
      </c>
    </row>
    <row r="149" customFormat="false" ht="15" hidden="false" customHeight="false" outlineLevel="0" collapsed="false">
      <c r="A149" s="3" t="s">
        <v>1350</v>
      </c>
      <c r="B149" s="8" t="n">
        <v>45757</v>
      </c>
      <c r="C149" s="3" t="s">
        <v>1189</v>
      </c>
      <c r="D149" s="9"/>
      <c r="E149" s="9" t="n">
        <v>448000</v>
      </c>
      <c r="F149" s="9" t="n">
        <f aca="false">F148+D149-E149</f>
        <v>56814196.75</v>
      </c>
    </row>
    <row r="150" customFormat="false" ht="15" hidden="false" customHeight="false" outlineLevel="0" collapsed="false">
      <c r="A150" s="3" t="s">
        <v>1351</v>
      </c>
      <c r="B150" s="8" t="n">
        <v>45757</v>
      </c>
      <c r="C150" s="3" t="s">
        <v>1179</v>
      </c>
      <c r="D150" s="9"/>
      <c r="E150" s="9" t="n">
        <v>223800</v>
      </c>
      <c r="F150" s="9" t="n">
        <f aca="false">F149+D150-E150</f>
        <v>56590396.75</v>
      </c>
    </row>
    <row r="151" customFormat="false" ht="15" hidden="false" customHeight="false" outlineLevel="0" collapsed="false">
      <c r="A151" s="3" t="s">
        <v>1352</v>
      </c>
      <c r="B151" s="8" t="n">
        <v>45758</v>
      </c>
      <c r="C151" s="3" t="s">
        <v>1212</v>
      </c>
      <c r="D151" s="9"/>
      <c r="E151" s="9" t="n">
        <v>3583400</v>
      </c>
      <c r="F151" s="9" t="n">
        <f aca="false">F150+D151-E151</f>
        <v>53006996.75</v>
      </c>
    </row>
    <row r="152" customFormat="false" ht="15" hidden="false" customHeight="false" outlineLevel="0" collapsed="false">
      <c r="A152" s="3" t="s">
        <v>1353</v>
      </c>
      <c r="B152" s="8" t="n">
        <v>45761</v>
      </c>
      <c r="C152" s="3" t="s">
        <v>1196</v>
      </c>
      <c r="D152" s="9" t="n">
        <v>2956500</v>
      </c>
      <c r="E152" s="9"/>
      <c r="F152" s="9" t="n">
        <f aca="false">F151+D152-E152</f>
        <v>55963496.75</v>
      </c>
    </row>
    <row r="153" customFormat="false" ht="15" hidden="false" customHeight="false" outlineLevel="0" collapsed="false">
      <c r="A153" s="3" t="s">
        <v>1354</v>
      </c>
      <c r="B153" s="8" t="n">
        <v>45761</v>
      </c>
      <c r="C153" s="3" t="s">
        <v>1143</v>
      </c>
      <c r="D153" s="9" t="n">
        <v>1594824.13</v>
      </c>
      <c r="E153" s="9"/>
      <c r="F153" s="9" t="n">
        <f aca="false">F152+D153-E153</f>
        <v>57558320.88</v>
      </c>
    </row>
    <row r="154" customFormat="false" ht="15" hidden="false" customHeight="false" outlineLevel="0" collapsed="false">
      <c r="A154" s="3" t="s">
        <v>1355</v>
      </c>
      <c r="B154" s="8" t="n">
        <v>45761</v>
      </c>
      <c r="C154" s="3" t="s">
        <v>1212</v>
      </c>
      <c r="D154" s="9"/>
      <c r="E154" s="9" t="n">
        <v>3529100</v>
      </c>
      <c r="F154" s="9" t="n">
        <f aca="false">F153+D154-E154</f>
        <v>54029220.88</v>
      </c>
    </row>
    <row r="155" customFormat="false" ht="15" hidden="false" customHeight="false" outlineLevel="0" collapsed="false">
      <c r="A155" s="3" t="s">
        <v>1356</v>
      </c>
      <c r="B155" s="8" t="n">
        <v>45761</v>
      </c>
      <c r="C155" s="3" t="s">
        <v>1153</v>
      </c>
      <c r="D155" s="9"/>
      <c r="E155" s="9" t="n">
        <v>160511.74</v>
      </c>
      <c r="F155" s="9" t="n">
        <f aca="false">F154+D155-E155</f>
        <v>53868709.14</v>
      </c>
    </row>
    <row r="156" customFormat="false" ht="15" hidden="false" customHeight="false" outlineLevel="0" collapsed="false">
      <c r="A156" s="3" t="s">
        <v>1357</v>
      </c>
      <c r="B156" s="8" t="n">
        <v>45761</v>
      </c>
      <c r="C156" s="3" t="s">
        <v>1168</v>
      </c>
      <c r="D156" s="9"/>
      <c r="E156" s="9" t="n">
        <v>117010.65</v>
      </c>
      <c r="F156" s="9" t="n">
        <f aca="false">F155+D156-E156</f>
        <v>53751698.49</v>
      </c>
    </row>
    <row r="157" customFormat="false" ht="15" hidden="false" customHeight="false" outlineLevel="0" collapsed="false">
      <c r="A157" s="3" t="s">
        <v>1358</v>
      </c>
      <c r="B157" s="8" t="n">
        <v>45762</v>
      </c>
      <c r="C157" s="3" t="s">
        <v>1359</v>
      </c>
      <c r="D157" s="9" t="n">
        <v>4009000</v>
      </c>
      <c r="E157" s="9"/>
      <c r="F157" s="9" t="n">
        <f aca="false">F156+D157-E157</f>
        <v>57760698.49</v>
      </c>
    </row>
    <row r="158" customFormat="false" ht="15" hidden="false" customHeight="false" outlineLevel="0" collapsed="false">
      <c r="A158" s="3" t="s">
        <v>1360</v>
      </c>
      <c r="B158" s="8" t="n">
        <v>45762</v>
      </c>
      <c r="C158" s="3" t="s">
        <v>1361</v>
      </c>
      <c r="D158" s="9"/>
      <c r="E158" s="9" t="n">
        <v>828000</v>
      </c>
      <c r="F158" s="9" t="n">
        <f aca="false">F157+D158-E158</f>
        <v>56932698.49</v>
      </c>
    </row>
    <row r="159" customFormat="false" ht="15" hidden="false" customHeight="false" outlineLevel="0" collapsed="false">
      <c r="A159" s="3" t="s">
        <v>1362</v>
      </c>
      <c r="B159" s="8" t="n">
        <v>45762</v>
      </c>
      <c r="C159" s="3" t="s">
        <v>1363</v>
      </c>
      <c r="D159" s="9"/>
      <c r="E159" s="9" t="n">
        <v>1109600</v>
      </c>
      <c r="F159" s="9" t="n">
        <f aca="false">F158+D159-E159</f>
        <v>55823098.49</v>
      </c>
    </row>
    <row r="160" customFormat="false" ht="15" hidden="false" customHeight="false" outlineLevel="0" collapsed="false">
      <c r="A160" s="3" t="s">
        <v>1364</v>
      </c>
      <c r="B160" s="8" t="n">
        <v>45763</v>
      </c>
      <c r="C160" s="3" t="s">
        <v>1157</v>
      </c>
      <c r="D160" s="9" t="n">
        <v>1209659.88</v>
      </c>
      <c r="E160" s="9"/>
      <c r="F160" s="9" t="n">
        <f aca="false">F159+D160-E160</f>
        <v>57032758.37</v>
      </c>
    </row>
    <row r="161" customFormat="false" ht="15" hidden="false" customHeight="false" outlineLevel="0" collapsed="false">
      <c r="A161" s="3" t="s">
        <v>1365</v>
      </c>
      <c r="B161" s="8" t="n">
        <v>45763</v>
      </c>
      <c r="C161" s="3" t="s">
        <v>1366</v>
      </c>
      <c r="D161" s="9" t="n">
        <v>1626100</v>
      </c>
      <c r="E161" s="9"/>
      <c r="F161" s="9" t="n">
        <f aca="false">F160+D161-E161</f>
        <v>58658858.37</v>
      </c>
    </row>
    <row r="162" customFormat="false" ht="15" hidden="false" customHeight="false" outlineLevel="0" collapsed="false">
      <c r="A162" s="3" t="s">
        <v>1367</v>
      </c>
      <c r="B162" s="8" t="n">
        <v>45763</v>
      </c>
      <c r="C162" s="3" t="s">
        <v>1368</v>
      </c>
      <c r="D162" s="9"/>
      <c r="E162" s="9" t="n">
        <v>1160030.57</v>
      </c>
      <c r="F162" s="9" t="n">
        <f aca="false">F161+D162-E162</f>
        <v>57498827.8</v>
      </c>
    </row>
    <row r="163" customFormat="false" ht="15" hidden="false" customHeight="false" outlineLevel="0" collapsed="false">
      <c r="A163" s="3" t="s">
        <v>1369</v>
      </c>
      <c r="B163" s="8" t="n">
        <v>45764</v>
      </c>
      <c r="C163" s="3" t="s">
        <v>1153</v>
      </c>
      <c r="D163" s="9"/>
      <c r="E163" s="9" t="n">
        <v>319559.42</v>
      </c>
      <c r="F163" s="9" t="n">
        <f aca="false">F162+D163-E163</f>
        <v>57179268.38</v>
      </c>
    </row>
    <row r="164" customFormat="false" ht="15" hidden="false" customHeight="false" outlineLevel="0" collapsed="false">
      <c r="A164" s="3" t="s">
        <v>1370</v>
      </c>
      <c r="B164" s="8" t="n">
        <v>45768</v>
      </c>
      <c r="C164" s="3" t="s">
        <v>1143</v>
      </c>
      <c r="D164" s="9" t="n">
        <v>996243.66</v>
      </c>
      <c r="E164" s="9"/>
      <c r="F164" s="9" t="n">
        <f aca="false">F163+D164-E164</f>
        <v>58175512.04</v>
      </c>
    </row>
    <row r="165" customFormat="false" ht="15" hidden="false" customHeight="false" outlineLevel="0" collapsed="false">
      <c r="A165" s="3" t="s">
        <v>1371</v>
      </c>
      <c r="B165" s="8" t="n">
        <v>45768</v>
      </c>
      <c r="C165" s="3" t="s">
        <v>1157</v>
      </c>
      <c r="D165" s="9" t="n">
        <v>516248.04</v>
      </c>
      <c r="E165" s="9"/>
      <c r="F165" s="9" t="n">
        <f aca="false">F164+D165-E165</f>
        <v>58691760.08</v>
      </c>
    </row>
    <row r="166" customFormat="false" ht="15" hidden="false" customHeight="false" outlineLevel="0" collapsed="false">
      <c r="A166" s="3" t="s">
        <v>1372</v>
      </c>
      <c r="B166" s="8" t="n">
        <v>45768</v>
      </c>
      <c r="C166" s="3" t="s">
        <v>1153</v>
      </c>
      <c r="D166" s="9"/>
      <c r="E166" s="9" t="n">
        <v>280147.57</v>
      </c>
      <c r="F166" s="9" t="n">
        <f aca="false">F165+D166-E166</f>
        <v>58411612.51</v>
      </c>
    </row>
    <row r="167" customFormat="false" ht="15" hidden="false" customHeight="false" outlineLevel="0" collapsed="false">
      <c r="A167" s="3" t="s">
        <v>1373</v>
      </c>
      <c r="B167" s="8" t="n">
        <v>45768</v>
      </c>
      <c r="C167" s="3" t="s">
        <v>1176</v>
      </c>
      <c r="D167" s="9"/>
      <c r="E167" s="9" t="n">
        <v>216768.18</v>
      </c>
      <c r="F167" s="9" t="n">
        <f aca="false">F166+D167-E167</f>
        <v>58194844.33</v>
      </c>
    </row>
    <row r="168" customFormat="false" ht="15" hidden="false" customHeight="false" outlineLevel="0" collapsed="false">
      <c r="A168" s="3" t="s">
        <v>1374</v>
      </c>
      <c r="B168" s="8" t="n">
        <v>45769</v>
      </c>
      <c r="C168" s="3" t="s">
        <v>1191</v>
      </c>
      <c r="D168" s="9"/>
      <c r="E168" s="9" t="n">
        <v>167194.14</v>
      </c>
      <c r="F168" s="9" t="n">
        <f aca="false">F167+D168-E168</f>
        <v>58027650.19</v>
      </c>
    </row>
    <row r="169" customFormat="false" ht="15" hidden="false" customHeight="false" outlineLevel="0" collapsed="false">
      <c r="A169" s="3" t="s">
        <v>1375</v>
      </c>
      <c r="B169" s="8" t="n">
        <v>45769</v>
      </c>
      <c r="C169" s="3" t="s">
        <v>1151</v>
      </c>
      <c r="D169" s="9" t="n">
        <v>760871.08</v>
      </c>
      <c r="E169" s="9"/>
      <c r="F169" s="9" t="n">
        <f aca="false">F168+D169-E169</f>
        <v>58788521.27</v>
      </c>
    </row>
    <row r="170" customFormat="false" ht="15" hidden="false" customHeight="false" outlineLevel="0" collapsed="false">
      <c r="A170" s="3" t="s">
        <v>1376</v>
      </c>
      <c r="B170" s="8" t="n">
        <v>45769</v>
      </c>
      <c r="C170" s="3" t="s">
        <v>1176</v>
      </c>
      <c r="D170" s="9"/>
      <c r="E170" s="9" t="n">
        <v>213630.86</v>
      </c>
      <c r="F170" s="9" t="n">
        <f aca="false">F169+D170-E170</f>
        <v>58574890.41</v>
      </c>
    </row>
    <row r="171" customFormat="false" ht="15" hidden="false" customHeight="false" outlineLevel="0" collapsed="false">
      <c r="A171" s="3" t="s">
        <v>1377</v>
      </c>
      <c r="B171" s="8" t="n">
        <v>45770</v>
      </c>
      <c r="C171" s="3" t="s">
        <v>1378</v>
      </c>
      <c r="D171" s="9" t="n">
        <v>1641600</v>
      </c>
      <c r="E171" s="9"/>
      <c r="F171" s="9" t="n">
        <f aca="false">F170+D171-E171</f>
        <v>60216490.41</v>
      </c>
    </row>
    <row r="172" customFormat="false" ht="15" hidden="false" customHeight="false" outlineLevel="0" collapsed="false">
      <c r="A172" s="3" t="s">
        <v>1379</v>
      </c>
      <c r="B172" s="8" t="n">
        <v>45771</v>
      </c>
      <c r="C172" s="3" t="s">
        <v>1380</v>
      </c>
      <c r="D172" s="9"/>
      <c r="E172" s="9" t="n">
        <v>900000</v>
      </c>
      <c r="F172" s="9" t="n">
        <f aca="false">F171+D172-E172</f>
        <v>59316490.41</v>
      </c>
    </row>
    <row r="173" customFormat="false" ht="15" hidden="false" customHeight="false" outlineLevel="0" collapsed="false">
      <c r="A173" s="3" t="s">
        <v>1381</v>
      </c>
      <c r="B173" s="8" t="n">
        <v>45772</v>
      </c>
      <c r="C173" s="3" t="s">
        <v>1157</v>
      </c>
      <c r="D173" s="9" t="n">
        <v>788133.11</v>
      </c>
      <c r="E173" s="9"/>
      <c r="F173" s="9" t="n">
        <f aca="false">F172+D173-E173</f>
        <v>60104623.52</v>
      </c>
    </row>
    <row r="174" customFormat="false" ht="15" hidden="false" customHeight="false" outlineLevel="0" collapsed="false">
      <c r="A174" s="3" t="s">
        <v>1382</v>
      </c>
      <c r="B174" s="8" t="n">
        <v>45775</v>
      </c>
      <c r="C174" s="3" t="s">
        <v>1143</v>
      </c>
      <c r="D174" s="9" t="n">
        <v>1059314.68</v>
      </c>
      <c r="E174" s="9"/>
      <c r="F174" s="9" t="n">
        <f aca="false">F173+D174-E174</f>
        <v>61163938.2</v>
      </c>
    </row>
    <row r="175" customFormat="false" ht="15" hidden="false" customHeight="false" outlineLevel="0" collapsed="false">
      <c r="A175" s="3" t="s">
        <v>1383</v>
      </c>
      <c r="B175" s="8" t="n">
        <v>45775</v>
      </c>
      <c r="C175" s="3" t="s">
        <v>1384</v>
      </c>
      <c r="D175" s="9"/>
      <c r="E175" s="9" t="n">
        <v>3781200</v>
      </c>
      <c r="F175" s="9" t="n">
        <f aca="false">F174+D175-E175</f>
        <v>57382738.2</v>
      </c>
    </row>
    <row r="176" customFormat="false" ht="15" hidden="false" customHeight="false" outlineLevel="0" collapsed="false">
      <c r="A176" s="3" t="s">
        <v>1385</v>
      </c>
      <c r="B176" s="8" t="n">
        <v>45777</v>
      </c>
      <c r="C176" s="3" t="s">
        <v>1386</v>
      </c>
      <c r="D176" s="9" t="n">
        <v>3454200</v>
      </c>
      <c r="E176" s="9"/>
      <c r="F176" s="9" t="n">
        <f aca="false">F175+D176-E176</f>
        <v>60836938.2</v>
      </c>
    </row>
    <row r="177" customFormat="false" ht="15" hidden="false" customHeight="false" outlineLevel="0" collapsed="false">
      <c r="A177" s="3" t="s">
        <v>1387</v>
      </c>
      <c r="B177" s="8" t="n">
        <v>45777</v>
      </c>
      <c r="C177" s="3" t="s">
        <v>1388</v>
      </c>
      <c r="D177" s="9"/>
      <c r="E177" s="9" t="n">
        <v>10782.67</v>
      </c>
      <c r="F177" s="9" t="n">
        <f aca="false">F176+D177-E177</f>
        <v>60826155.53</v>
      </c>
    </row>
    <row r="178" customFormat="false" ht="15" hidden="false" customHeight="false" outlineLevel="0" collapsed="false">
      <c r="A178" s="3" t="s">
        <v>1389</v>
      </c>
      <c r="B178" s="8" t="n">
        <v>45779</v>
      </c>
      <c r="C178" s="3" t="s">
        <v>1390</v>
      </c>
      <c r="D178" s="9" t="n">
        <v>1129200</v>
      </c>
      <c r="E178" s="9"/>
      <c r="F178" s="9" t="n">
        <f aca="false">F177+D178-E178</f>
        <v>61955355.53</v>
      </c>
    </row>
    <row r="179" customFormat="false" ht="15" hidden="false" customHeight="false" outlineLevel="0" collapsed="false">
      <c r="A179" s="3" t="s">
        <v>1391</v>
      </c>
      <c r="B179" s="8" t="n">
        <v>45779</v>
      </c>
      <c r="C179" s="3" t="s">
        <v>1153</v>
      </c>
      <c r="D179" s="9"/>
      <c r="E179" s="9" t="n">
        <v>242861.85</v>
      </c>
      <c r="F179" s="9" t="n">
        <f aca="false">F178+D179-E179</f>
        <v>61712493.68</v>
      </c>
    </row>
    <row r="180" customFormat="false" ht="15" hidden="false" customHeight="false" outlineLevel="0" collapsed="false">
      <c r="A180" s="3" t="s">
        <v>1392</v>
      </c>
      <c r="B180" s="8" t="n">
        <v>45779</v>
      </c>
      <c r="C180" s="3" t="s">
        <v>1143</v>
      </c>
      <c r="D180" s="9" t="n">
        <v>1090888.76</v>
      </c>
      <c r="E180" s="9"/>
      <c r="F180" s="9" t="n">
        <f aca="false">F179+D180-E180</f>
        <v>62803382.44</v>
      </c>
    </row>
    <row r="181" customFormat="false" ht="15" hidden="false" customHeight="false" outlineLevel="0" collapsed="false">
      <c r="A181" s="3" t="s">
        <v>1393</v>
      </c>
      <c r="B181" s="8" t="n">
        <v>45782</v>
      </c>
      <c r="C181" s="3" t="s">
        <v>1145</v>
      </c>
      <c r="D181" s="9"/>
      <c r="E181" s="9" t="n">
        <v>85000</v>
      </c>
      <c r="F181" s="9" t="n">
        <f aca="false">F180+D181-E181</f>
        <v>62718382.44</v>
      </c>
    </row>
    <row r="182" customFormat="false" ht="15" hidden="false" customHeight="false" outlineLevel="0" collapsed="false">
      <c r="A182" s="3" t="s">
        <v>1394</v>
      </c>
      <c r="B182" s="8" t="n">
        <v>45782</v>
      </c>
      <c r="C182" s="3" t="s">
        <v>1176</v>
      </c>
      <c r="D182" s="9"/>
      <c r="E182" s="9" t="n">
        <v>195534.76</v>
      </c>
      <c r="F182" s="9" t="n">
        <f aca="false">F181+D182-E182</f>
        <v>62522847.68</v>
      </c>
    </row>
    <row r="183" customFormat="false" ht="15" hidden="false" customHeight="false" outlineLevel="0" collapsed="false">
      <c r="A183" s="3" t="s">
        <v>1395</v>
      </c>
      <c r="B183" s="8" t="n">
        <v>45784</v>
      </c>
      <c r="C183" s="3" t="s">
        <v>1321</v>
      </c>
      <c r="D183" s="9"/>
      <c r="E183" s="9" t="n">
        <v>2691300</v>
      </c>
      <c r="F183" s="9" t="n">
        <f aca="false">F182+D183-E183</f>
        <v>59831547.68</v>
      </c>
    </row>
    <row r="184" customFormat="false" ht="15" hidden="false" customHeight="false" outlineLevel="0" collapsed="false">
      <c r="A184" s="3" t="s">
        <v>1396</v>
      </c>
      <c r="B184" s="8" t="n">
        <v>45786</v>
      </c>
      <c r="C184" s="3" t="s">
        <v>1151</v>
      </c>
      <c r="D184" s="9" t="n">
        <v>550315.14</v>
      </c>
      <c r="E184" s="9"/>
      <c r="F184" s="9" t="n">
        <f aca="false">F183+D184-E184</f>
        <v>60381862.82</v>
      </c>
    </row>
    <row r="185" customFormat="false" ht="15" hidden="false" customHeight="false" outlineLevel="0" collapsed="false">
      <c r="A185" s="3" t="s">
        <v>1397</v>
      </c>
      <c r="B185" s="8" t="n">
        <v>45789</v>
      </c>
      <c r="C185" s="3" t="s">
        <v>1174</v>
      </c>
      <c r="D185" s="9"/>
      <c r="E185" s="9" t="n">
        <v>3394200</v>
      </c>
      <c r="F185" s="9" t="n">
        <f aca="false">F184+D185-E185</f>
        <v>56987662.82</v>
      </c>
    </row>
    <row r="186" customFormat="false" ht="15" hidden="false" customHeight="false" outlineLevel="0" collapsed="false">
      <c r="A186" s="3" t="s">
        <v>1398</v>
      </c>
      <c r="B186" s="8" t="n">
        <v>45789</v>
      </c>
      <c r="C186" s="3" t="s">
        <v>1399</v>
      </c>
      <c r="D186" s="9"/>
      <c r="E186" s="9" t="n">
        <v>450800</v>
      </c>
      <c r="F186" s="9" t="n">
        <f aca="false">F185+D186-E186</f>
        <v>56536862.82</v>
      </c>
    </row>
    <row r="187" customFormat="false" ht="15" hidden="false" customHeight="false" outlineLevel="0" collapsed="false">
      <c r="A187" s="3" t="s">
        <v>1400</v>
      </c>
      <c r="B187" s="8" t="n">
        <v>45789</v>
      </c>
      <c r="C187" s="3" t="s">
        <v>1168</v>
      </c>
      <c r="D187" s="9"/>
      <c r="E187" s="9" t="n">
        <v>160831.64</v>
      </c>
      <c r="F187" s="9" t="n">
        <f aca="false">F186+D187-E187</f>
        <v>56376031.18</v>
      </c>
    </row>
    <row r="188" customFormat="false" ht="15" hidden="false" customHeight="false" outlineLevel="0" collapsed="false">
      <c r="A188" s="3" t="s">
        <v>1401</v>
      </c>
      <c r="B188" s="8" t="n">
        <v>45789</v>
      </c>
      <c r="C188" s="3" t="s">
        <v>1189</v>
      </c>
      <c r="D188" s="9"/>
      <c r="E188" s="9" t="n">
        <v>578000</v>
      </c>
      <c r="F188" s="9" t="n">
        <f aca="false">F187+D188-E188</f>
        <v>55798031.18</v>
      </c>
    </row>
    <row r="189" customFormat="false" ht="15" hidden="false" customHeight="false" outlineLevel="0" collapsed="false">
      <c r="A189" s="3" t="s">
        <v>1402</v>
      </c>
      <c r="B189" s="8" t="n">
        <v>45789</v>
      </c>
      <c r="C189" s="3" t="s">
        <v>1403</v>
      </c>
      <c r="D189" s="9"/>
      <c r="E189" s="9" t="n">
        <v>1057421.95</v>
      </c>
      <c r="F189" s="9" t="n">
        <f aca="false">F188+D189-E189</f>
        <v>54740609.23</v>
      </c>
    </row>
    <row r="190" customFormat="false" ht="15" hidden="false" customHeight="false" outlineLevel="0" collapsed="false">
      <c r="A190" s="3" t="s">
        <v>1404</v>
      </c>
      <c r="B190" s="8" t="n">
        <v>45790</v>
      </c>
      <c r="C190" s="3" t="s">
        <v>1143</v>
      </c>
      <c r="D190" s="9" t="n">
        <v>1989748.34</v>
      </c>
      <c r="E190" s="9"/>
      <c r="F190" s="9" t="n">
        <f aca="false">F189+D190-E190</f>
        <v>56730357.57</v>
      </c>
    </row>
    <row r="191" customFormat="false" ht="15" hidden="false" customHeight="false" outlineLevel="0" collapsed="false">
      <c r="A191" s="3" t="s">
        <v>1405</v>
      </c>
      <c r="B191" s="8" t="n">
        <v>45790</v>
      </c>
      <c r="C191" s="3" t="s">
        <v>1153</v>
      </c>
      <c r="D191" s="9"/>
      <c r="E191" s="9" t="n">
        <v>284088.56</v>
      </c>
      <c r="F191" s="9" t="n">
        <f aca="false">F190+D191-E191</f>
        <v>56446269.01</v>
      </c>
    </row>
    <row r="192" customFormat="false" ht="15" hidden="false" customHeight="false" outlineLevel="0" collapsed="false">
      <c r="A192" s="3" t="s">
        <v>1406</v>
      </c>
      <c r="B192" s="8" t="n">
        <v>45792</v>
      </c>
      <c r="C192" s="3" t="s">
        <v>1407</v>
      </c>
      <c r="D192" s="9"/>
      <c r="E192" s="9" t="n">
        <v>828000</v>
      </c>
      <c r="F192" s="9" t="n">
        <f aca="false">F191+D192-E192</f>
        <v>55618269.01</v>
      </c>
    </row>
    <row r="193" customFormat="false" ht="15" hidden="false" customHeight="false" outlineLevel="0" collapsed="false">
      <c r="A193" s="3" t="s">
        <v>1408</v>
      </c>
      <c r="B193" s="8" t="n">
        <v>45792</v>
      </c>
      <c r="C193" s="3" t="s">
        <v>1409</v>
      </c>
      <c r="D193" s="9" t="n">
        <v>1737400</v>
      </c>
      <c r="E193" s="9"/>
      <c r="F193" s="9" t="n">
        <f aca="false">F192+D193-E193</f>
        <v>57355669.01</v>
      </c>
    </row>
    <row r="194" customFormat="false" ht="15" hidden="false" customHeight="false" outlineLevel="0" collapsed="false">
      <c r="A194" s="3" t="s">
        <v>1410</v>
      </c>
      <c r="B194" s="8" t="n">
        <v>45792</v>
      </c>
      <c r="C194" s="3" t="s">
        <v>1411</v>
      </c>
      <c r="D194" s="9" t="n">
        <v>4800000</v>
      </c>
      <c r="E194" s="9"/>
      <c r="F194" s="9" t="n">
        <f aca="false">F193+D194-E194</f>
        <v>62155669.01</v>
      </c>
    </row>
    <row r="195" customFormat="false" ht="15" hidden="false" customHeight="false" outlineLevel="0" collapsed="false">
      <c r="A195" s="3" t="s">
        <v>1412</v>
      </c>
      <c r="B195" s="8" t="n">
        <v>45793</v>
      </c>
      <c r="C195" s="3" t="s">
        <v>1196</v>
      </c>
      <c r="D195" s="9" t="n">
        <v>3760200</v>
      </c>
      <c r="E195" s="9"/>
      <c r="F195" s="9" t="n">
        <f aca="false">F194+D195-E195</f>
        <v>65915869.01</v>
      </c>
    </row>
    <row r="196" customFormat="false" ht="15" hidden="false" customHeight="false" outlineLevel="0" collapsed="false">
      <c r="A196" s="3" t="s">
        <v>1413</v>
      </c>
      <c r="B196" s="8" t="n">
        <v>45793</v>
      </c>
      <c r="C196" s="3" t="s">
        <v>1321</v>
      </c>
      <c r="D196" s="9"/>
      <c r="E196" s="9" t="n">
        <v>1623800</v>
      </c>
      <c r="F196" s="9" t="n">
        <f aca="false">F195+D196-E196</f>
        <v>64292069.01</v>
      </c>
    </row>
    <row r="197" customFormat="false" ht="15" hidden="false" customHeight="false" outlineLevel="0" collapsed="false">
      <c r="A197" s="3" t="s">
        <v>1414</v>
      </c>
      <c r="B197" s="8" t="n">
        <v>45793</v>
      </c>
      <c r="C197" s="3" t="s">
        <v>1179</v>
      </c>
      <c r="D197" s="9"/>
      <c r="E197" s="9" t="n">
        <v>345400</v>
      </c>
      <c r="F197" s="9" t="n">
        <f aca="false">F196+D197-E197</f>
        <v>63946669.01</v>
      </c>
    </row>
    <row r="198" customFormat="false" ht="15" hidden="false" customHeight="false" outlineLevel="0" collapsed="false">
      <c r="A198" s="3" t="s">
        <v>1415</v>
      </c>
      <c r="B198" s="8" t="n">
        <v>45796</v>
      </c>
      <c r="C198" s="3" t="s">
        <v>1153</v>
      </c>
      <c r="D198" s="9"/>
      <c r="E198" s="9" t="n">
        <v>129091.53</v>
      </c>
      <c r="F198" s="9" t="n">
        <f aca="false">F197+D198-E198</f>
        <v>63817577.48</v>
      </c>
    </row>
    <row r="199" customFormat="false" ht="15" hidden="false" customHeight="false" outlineLevel="0" collapsed="false">
      <c r="A199" s="3" t="s">
        <v>1416</v>
      </c>
      <c r="B199" s="8" t="n">
        <v>45796</v>
      </c>
      <c r="C199" s="3" t="s">
        <v>1176</v>
      </c>
      <c r="D199" s="9"/>
      <c r="E199" s="9" t="n">
        <v>169680.77</v>
      </c>
      <c r="F199" s="9" t="n">
        <f aca="false">F198+D199-E199</f>
        <v>63647896.71</v>
      </c>
    </row>
    <row r="200" customFormat="false" ht="15" hidden="false" customHeight="false" outlineLevel="0" collapsed="false">
      <c r="A200" s="3" t="s">
        <v>1417</v>
      </c>
      <c r="B200" s="8" t="n">
        <v>45796</v>
      </c>
      <c r="C200" s="3" t="s">
        <v>1298</v>
      </c>
      <c r="D200" s="9"/>
      <c r="E200" s="9" t="n">
        <v>365000</v>
      </c>
      <c r="F200" s="9" t="n">
        <f aca="false">F199+D200-E200</f>
        <v>63282896.71</v>
      </c>
    </row>
    <row r="201" customFormat="false" ht="15" hidden="false" customHeight="false" outlineLevel="0" collapsed="false">
      <c r="A201" s="3" t="s">
        <v>1418</v>
      </c>
      <c r="B201" s="8" t="n">
        <v>45797</v>
      </c>
      <c r="C201" s="3" t="s">
        <v>1143</v>
      </c>
      <c r="D201" s="9" t="n">
        <v>738581.76</v>
      </c>
      <c r="E201" s="9"/>
      <c r="F201" s="9" t="n">
        <f aca="false">F200+D201-E201</f>
        <v>64021478.47</v>
      </c>
    </row>
    <row r="202" customFormat="false" ht="15" hidden="false" customHeight="false" outlineLevel="0" collapsed="false">
      <c r="A202" s="3" t="s">
        <v>1419</v>
      </c>
      <c r="B202" s="8" t="n">
        <v>45797</v>
      </c>
      <c r="C202" s="3" t="s">
        <v>1157</v>
      </c>
      <c r="D202" s="9" t="n">
        <v>958309.97</v>
      </c>
      <c r="E202" s="9"/>
      <c r="F202" s="9" t="n">
        <f aca="false">F201+D202-E202</f>
        <v>64979788.44</v>
      </c>
    </row>
    <row r="203" customFormat="false" ht="15" hidden="false" customHeight="false" outlineLevel="0" collapsed="false">
      <c r="A203" s="3" t="s">
        <v>1420</v>
      </c>
      <c r="B203" s="8" t="n">
        <v>45797</v>
      </c>
      <c r="C203" s="3" t="s">
        <v>1421</v>
      </c>
      <c r="D203" s="9" t="n">
        <v>320000</v>
      </c>
      <c r="E203" s="9"/>
      <c r="F203" s="9" t="n">
        <f aca="false">F202+D203-E203</f>
        <v>65299788.44</v>
      </c>
    </row>
    <row r="204" customFormat="false" ht="15" hidden="false" customHeight="false" outlineLevel="0" collapsed="false">
      <c r="A204" s="3" t="s">
        <v>1422</v>
      </c>
      <c r="B204" s="8" t="n">
        <v>45797</v>
      </c>
      <c r="C204" s="3" t="s">
        <v>1191</v>
      </c>
      <c r="D204" s="9"/>
      <c r="E204" s="9" t="n">
        <v>112687.76</v>
      </c>
      <c r="F204" s="9" t="n">
        <f aca="false">F203+D204-E204</f>
        <v>65187100.68</v>
      </c>
    </row>
    <row r="205" customFormat="false" ht="15" hidden="false" customHeight="false" outlineLevel="0" collapsed="false">
      <c r="A205" s="3" t="s">
        <v>1423</v>
      </c>
      <c r="B205" s="8" t="n">
        <v>45797</v>
      </c>
      <c r="C205" s="3" t="s">
        <v>1153</v>
      </c>
      <c r="D205" s="9"/>
      <c r="E205" s="9" t="n">
        <v>304822.43</v>
      </c>
      <c r="F205" s="9" t="n">
        <f aca="false">F204+D205-E205</f>
        <v>64882278.25</v>
      </c>
    </row>
    <row r="206" customFormat="false" ht="15" hidden="false" customHeight="false" outlineLevel="0" collapsed="false">
      <c r="A206" s="3" t="s">
        <v>1424</v>
      </c>
      <c r="B206" s="8" t="n">
        <v>45798</v>
      </c>
      <c r="C206" s="3" t="s">
        <v>1196</v>
      </c>
      <c r="D206" s="9" t="n">
        <v>1857600</v>
      </c>
      <c r="E206" s="9"/>
      <c r="F206" s="9" t="n">
        <f aca="false">F205+D206-E206</f>
        <v>66739878.25</v>
      </c>
    </row>
    <row r="207" customFormat="false" ht="15" hidden="false" customHeight="false" outlineLevel="0" collapsed="false">
      <c r="A207" s="3" t="s">
        <v>1425</v>
      </c>
      <c r="B207" s="8" t="n">
        <v>45798</v>
      </c>
      <c r="C207" s="3" t="s">
        <v>1426</v>
      </c>
      <c r="D207" s="9"/>
      <c r="E207" s="9" t="n">
        <v>1154746.34</v>
      </c>
      <c r="F207" s="9" t="n">
        <f aca="false">F206+D207-E207</f>
        <v>65585131.91</v>
      </c>
    </row>
    <row r="208" customFormat="false" ht="15" hidden="false" customHeight="false" outlineLevel="0" collapsed="false">
      <c r="A208" s="3" t="s">
        <v>1427</v>
      </c>
      <c r="B208" s="8" t="n">
        <v>45798</v>
      </c>
      <c r="C208" s="3" t="s">
        <v>1179</v>
      </c>
      <c r="D208" s="9"/>
      <c r="E208" s="9" t="n">
        <v>235700</v>
      </c>
      <c r="F208" s="9" t="n">
        <f aca="false">F207+D208-E208</f>
        <v>65349431.91</v>
      </c>
    </row>
    <row r="209" customFormat="false" ht="15" hidden="false" customHeight="false" outlineLevel="0" collapsed="false">
      <c r="A209" s="3" t="s">
        <v>1428</v>
      </c>
      <c r="B209" s="8" t="n">
        <v>45799</v>
      </c>
      <c r="C209" s="3" t="s">
        <v>1151</v>
      </c>
      <c r="D209" s="9" t="n">
        <v>852557.8</v>
      </c>
      <c r="E209" s="9"/>
      <c r="F209" s="9" t="n">
        <f aca="false">F208+D209-E209</f>
        <v>66201989.71</v>
      </c>
    </row>
    <row r="210" customFormat="false" ht="15" hidden="false" customHeight="false" outlineLevel="0" collapsed="false">
      <c r="A210" s="3" t="s">
        <v>1429</v>
      </c>
      <c r="B210" s="8" t="n">
        <v>45800</v>
      </c>
      <c r="C210" s="3" t="s">
        <v>1182</v>
      </c>
      <c r="D210" s="9"/>
      <c r="E210" s="9" t="n">
        <v>2247200</v>
      </c>
      <c r="F210" s="9" t="n">
        <f aca="false">F209+D210-E210</f>
        <v>63954789.71</v>
      </c>
    </row>
    <row r="211" customFormat="false" ht="15" hidden="false" customHeight="false" outlineLevel="0" collapsed="false">
      <c r="A211" s="3" t="s">
        <v>1430</v>
      </c>
      <c r="B211" s="8" t="n">
        <v>45803</v>
      </c>
      <c r="C211" s="3" t="s">
        <v>1431</v>
      </c>
      <c r="D211" s="9" t="n">
        <v>3626400</v>
      </c>
      <c r="E211" s="9"/>
      <c r="F211" s="9" t="n">
        <f aca="false">F210+D211-E211</f>
        <v>67581189.71</v>
      </c>
    </row>
    <row r="212" customFormat="false" ht="15" hidden="false" customHeight="false" outlineLevel="0" collapsed="false">
      <c r="A212" s="3" t="s">
        <v>1432</v>
      </c>
      <c r="B212" s="8" t="n">
        <v>45804</v>
      </c>
      <c r="C212" s="3" t="s">
        <v>1196</v>
      </c>
      <c r="D212" s="9" t="n">
        <v>2507800</v>
      </c>
      <c r="E212" s="9"/>
      <c r="F212" s="9" t="n">
        <f aca="false">F211+D212-E212</f>
        <v>70088989.71</v>
      </c>
    </row>
    <row r="213" customFormat="false" ht="15" hidden="false" customHeight="false" outlineLevel="0" collapsed="false">
      <c r="A213" s="3" t="s">
        <v>1433</v>
      </c>
      <c r="B213" s="8" t="n">
        <v>45804</v>
      </c>
      <c r="C213" s="3" t="s">
        <v>1143</v>
      </c>
      <c r="D213" s="9" t="n">
        <v>1289457.86</v>
      </c>
      <c r="E213" s="9"/>
      <c r="F213" s="9" t="n">
        <f aca="false">F212+D213-E213</f>
        <v>71378447.57</v>
      </c>
    </row>
    <row r="214" customFormat="false" ht="15" hidden="false" customHeight="false" outlineLevel="0" collapsed="false">
      <c r="A214" s="3" t="s">
        <v>1434</v>
      </c>
      <c r="B214" s="8" t="n">
        <v>45804</v>
      </c>
      <c r="C214" s="3" t="s">
        <v>1435</v>
      </c>
      <c r="D214" s="9"/>
      <c r="E214" s="9" t="n">
        <v>3781200</v>
      </c>
      <c r="F214" s="9" t="n">
        <f aca="false">F213+D214-E214</f>
        <v>67597247.57</v>
      </c>
    </row>
    <row r="215" customFormat="false" ht="15" hidden="false" customHeight="false" outlineLevel="0" collapsed="false">
      <c r="A215" s="3" t="s">
        <v>1436</v>
      </c>
      <c r="B215" s="8" t="n">
        <v>45805</v>
      </c>
      <c r="C215" s="3" t="s">
        <v>1157</v>
      </c>
      <c r="D215" s="9" t="n">
        <v>1207053.23</v>
      </c>
      <c r="E215" s="9"/>
      <c r="F215" s="9" t="n">
        <f aca="false">F214+D215-E215</f>
        <v>68804300.8</v>
      </c>
    </row>
    <row r="216" customFormat="false" ht="15" hidden="false" customHeight="false" outlineLevel="0" collapsed="false">
      <c r="A216" s="3" t="s">
        <v>1437</v>
      </c>
      <c r="B216" s="8" t="n">
        <v>45806</v>
      </c>
      <c r="C216" s="3" t="s">
        <v>1438</v>
      </c>
      <c r="D216" s="9"/>
      <c r="E216" s="9" t="n">
        <v>2851100</v>
      </c>
      <c r="F216" s="9" t="n">
        <f aca="false">F215+D216-E216</f>
        <v>65953200.8</v>
      </c>
    </row>
    <row r="217" customFormat="false" ht="15" hidden="false" customHeight="false" outlineLevel="0" collapsed="false">
      <c r="A217" s="3" t="s">
        <v>1439</v>
      </c>
      <c r="B217" s="8" t="n">
        <v>45806</v>
      </c>
      <c r="C217" s="3" t="s">
        <v>1182</v>
      </c>
      <c r="D217" s="9"/>
      <c r="E217" s="9" t="n">
        <v>950800</v>
      </c>
      <c r="F217" s="9" t="n">
        <f aca="false">F216+D217-E217</f>
        <v>65002400.8</v>
      </c>
    </row>
    <row r="218" customFormat="false" ht="15" hidden="false" customHeight="false" outlineLevel="0" collapsed="false">
      <c r="A218" s="3" t="s">
        <v>1440</v>
      </c>
      <c r="B218" s="8" t="n">
        <v>45807</v>
      </c>
      <c r="C218" s="3" t="s">
        <v>1441</v>
      </c>
      <c r="D218" s="9"/>
      <c r="E218" s="9" t="n">
        <v>10417.19</v>
      </c>
      <c r="F218" s="9" t="n">
        <f aca="false">F217+D218-E218</f>
        <v>64991983.61</v>
      </c>
    </row>
    <row r="219" customFormat="false" ht="15" hidden="false" customHeight="false" outlineLevel="0" collapsed="false">
      <c r="A219" s="3" t="s">
        <v>1442</v>
      </c>
      <c r="B219" s="8" t="n">
        <v>45810</v>
      </c>
      <c r="C219" s="3" t="s">
        <v>1179</v>
      </c>
      <c r="D219" s="9"/>
      <c r="E219" s="9" t="n">
        <v>360100</v>
      </c>
      <c r="F219" s="9" t="n">
        <f aca="false">F218+D219-E219</f>
        <v>64631883.61</v>
      </c>
    </row>
    <row r="220" customFormat="false" ht="15" hidden="false" customHeight="false" outlineLevel="0" collapsed="false">
      <c r="A220" s="3" t="s">
        <v>1443</v>
      </c>
      <c r="B220" s="8" t="n">
        <v>45810</v>
      </c>
      <c r="C220" s="3" t="s">
        <v>1153</v>
      </c>
      <c r="D220" s="9"/>
      <c r="E220" s="9" t="n">
        <v>294768.82</v>
      </c>
      <c r="F220" s="9" t="n">
        <f aca="false">F219+D220-E220</f>
        <v>64337114.79</v>
      </c>
    </row>
    <row r="221" customFormat="false" ht="15" hidden="false" customHeight="false" outlineLevel="0" collapsed="false">
      <c r="A221" s="3" t="s">
        <v>1444</v>
      </c>
      <c r="B221" s="8" t="n">
        <v>45812</v>
      </c>
      <c r="C221" s="3" t="s">
        <v>1445</v>
      </c>
      <c r="D221" s="9" t="n">
        <v>2607500</v>
      </c>
      <c r="E221" s="9"/>
      <c r="F221" s="9" t="n">
        <f aca="false">F220+D221-E221</f>
        <v>66944614.79</v>
      </c>
    </row>
    <row r="222" customFormat="false" ht="15" hidden="false" customHeight="false" outlineLevel="0" collapsed="false">
      <c r="A222" s="3" t="s">
        <v>1446</v>
      </c>
      <c r="B222" s="8" t="n">
        <v>45812</v>
      </c>
      <c r="C222" s="3" t="s">
        <v>1143</v>
      </c>
      <c r="D222" s="9" t="n">
        <v>681425.3</v>
      </c>
      <c r="E222" s="9"/>
      <c r="F222" s="9" t="n">
        <f aca="false">F221+D222-E222</f>
        <v>67626040.09</v>
      </c>
    </row>
    <row r="223" customFormat="false" ht="15" hidden="false" customHeight="false" outlineLevel="0" collapsed="false">
      <c r="A223" s="3" t="s">
        <v>1447</v>
      </c>
      <c r="B223" s="8" t="n">
        <v>45812</v>
      </c>
      <c r="C223" s="3" t="s">
        <v>1153</v>
      </c>
      <c r="D223" s="9"/>
      <c r="E223" s="9" t="n">
        <v>140309.54</v>
      </c>
      <c r="F223" s="9" t="n">
        <f aca="false">F222+D223-E223</f>
        <v>67485730.55</v>
      </c>
    </row>
    <row r="224" customFormat="false" ht="15" hidden="false" customHeight="false" outlineLevel="0" collapsed="false">
      <c r="A224" s="3" t="s">
        <v>1448</v>
      </c>
      <c r="B224" s="8" t="n">
        <v>45813</v>
      </c>
      <c r="C224" s="3" t="s">
        <v>1145</v>
      </c>
      <c r="D224" s="9"/>
      <c r="E224" s="9" t="n">
        <v>85000</v>
      </c>
      <c r="F224" s="9" t="n">
        <f aca="false">F223+D224-E224</f>
        <v>67400730.55</v>
      </c>
    </row>
    <row r="225" customFormat="false" ht="15" hidden="false" customHeight="false" outlineLevel="0" collapsed="false">
      <c r="A225" s="3" t="s">
        <v>1449</v>
      </c>
      <c r="B225" s="8" t="n">
        <v>45813</v>
      </c>
      <c r="C225" s="3" t="s">
        <v>1450</v>
      </c>
      <c r="D225" s="9"/>
      <c r="E225" s="9" t="n">
        <v>8000000</v>
      </c>
      <c r="F225" s="9" t="n">
        <f aca="false">F224+D225-E225</f>
        <v>59400730.55</v>
      </c>
    </row>
    <row r="226" customFormat="false" ht="15" hidden="false" customHeight="false" outlineLevel="0" collapsed="false">
      <c r="A226" s="3" t="s">
        <v>1451</v>
      </c>
      <c r="B226" s="8" t="n">
        <v>45813</v>
      </c>
      <c r="C226" s="3" t="s">
        <v>1452</v>
      </c>
      <c r="D226" s="9"/>
      <c r="E226" s="9" t="n">
        <v>1057421.95</v>
      </c>
      <c r="F226" s="9" t="n">
        <f aca="false">F225+D226-E226</f>
        <v>58343308.6</v>
      </c>
    </row>
    <row r="227" customFormat="false" ht="15" hidden="false" customHeight="false" outlineLevel="0" collapsed="false">
      <c r="A227" s="3" t="s">
        <v>1453</v>
      </c>
      <c r="B227" s="8" t="n">
        <v>45814</v>
      </c>
      <c r="C227" s="3" t="s">
        <v>1454</v>
      </c>
      <c r="D227" s="9" t="n">
        <v>4717400</v>
      </c>
      <c r="E227" s="9"/>
      <c r="F227" s="9" t="n">
        <f aca="false">F226+D227-E227</f>
        <v>63060708.6</v>
      </c>
    </row>
    <row r="228" customFormat="false" ht="15" hidden="false" customHeight="false" outlineLevel="0" collapsed="false">
      <c r="A228" s="3" t="s">
        <v>1455</v>
      </c>
      <c r="B228" s="8" t="n">
        <v>45814</v>
      </c>
      <c r="C228" s="3" t="s">
        <v>1153</v>
      </c>
      <c r="D228" s="9"/>
      <c r="E228" s="9" t="n">
        <v>149561.14</v>
      </c>
      <c r="F228" s="9" t="n">
        <f aca="false">F227+D228-E228</f>
        <v>62911147.46</v>
      </c>
    </row>
    <row r="229" customFormat="false" ht="15" hidden="false" customHeight="false" outlineLevel="0" collapsed="false">
      <c r="A229" s="3" t="s">
        <v>1456</v>
      </c>
      <c r="B229" s="8" t="n">
        <v>45814</v>
      </c>
      <c r="C229" s="3" t="s">
        <v>1457</v>
      </c>
      <c r="D229" s="9"/>
      <c r="E229" s="9" t="n">
        <v>450800</v>
      </c>
      <c r="F229" s="9" t="n">
        <f aca="false">F228+D229-E229</f>
        <v>62460347.46</v>
      </c>
    </row>
    <row r="230" customFormat="false" ht="15" hidden="false" customHeight="false" outlineLevel="0" collapsed="false">
      <c r="A230" s="3" t="s">
        <v>1458</v>
      </c>
      <c r="B230" s="8" t="n">
        <v>45817</v>
      </c>
      <c r="C230" s="3" t="s">
        <v>1459</v>
      </c>
      <c r="D230" s="9" t="n">
        <v>3461400</v>
      </c>
      <c r="E230" s="9"/>
      <c r="F230" s="9" t="n">
        <f aca="false">F229+D230-E230</f>
        <v>65921747.46</v>
      </c>
    </row>
    <row r="231" customFormat="false" ht="15" hidden="false" customHeight="false" outlineLevel="0" collapsed="false">
      <c r="A231" s="3" t="s">
        <v>1460</v>
      </c>
      <c r="B231" s="8" t="n">
        <v>45817</v>
      </c>
      <c r="C231" s="3" t="s">
        <v>1151</v>
      </c>
      <c r="D231" s="9" t="n">
        <v>477087.68</v>
      </c>
      <c r="E231" s="9"/>
      <c r="F231" s="9" t="n">
        <f aca="false">F230+D231-E231</f>
        <v>66398835.14</v>
      </c>
    </row>
    <row r="232" customFormat="false" ht="15" hidden="false" customHeight="false" outlineLevel="0" collapsed="false">
      <c r="A232" s="3" t="s">
        <v>1461</v>
      </c>
      <c r="B232" s="8" t="n">
        <v>45817</v>
      </c>
      <c r="C232" s="3" t="s">
        <v>1321</v>
      </c>
      <c r="D232" s="9"/>
      <c r="E232" s="9" t="n">
        <v>2254100</v>
      </c>
      <c r="F232" s="9" t="n">
        <f aca="false">F231+D232-E232</f>
        <v>64144735.14</v>
      </c>
    </row>
    <row r="233" customFormat="false" ht="15" hidden="false" customHeight="false" outlineLevel="0" collapsed="false">
      <c r="A233" s="3" t="s">
        <v>1462</v>
      </c>
      <c r="B233" s="8" t="n">
        <v>45817</v>
      </c>
      <c r="C233" s="3" t="s">
        <v>1321</v>
      </c>
      <c r="D233" s="9"/>
      <c r="E233" s="9" t="n">
        <v>2001000</v>
      </c>
      <c r="F233" s="9" t="n">
        <f aca="false">F232+D233-E233</f>
        <v>62143735.14</v>
      </c>
    </row>
    <row r="234" customFormat="false" ht="15" hidden="false" customHeight="false" outlineLevel="0" collapsed="false">
      <c r="A234" s="3" t="s">
        <v>1463</v>
      </c>
      <c r="B234" s="8" t="n">
        <v>45818</v>
      </c>
      <c r="C234" s="3" t="s">
        <v>1464</v>
      </c>
      <c r="D234" s="9" t="n">
        <v>4504200</v>
      </c>
      <c r="E234" s="9"/>
      <c r="F234" s="9" t="n">
        <f aca="false">F233+D234-E234</f>
        <v>66647935.14</v>
      </c>
    </row>
    <row r="235" customFormat="false" ht="15" hidden="false" customHeight="false" outlineLevel="0" collapsed="false">
      <c r="A235" s="3" t="s">
        <v>1465</v>
      </c>
      <c r="B235" s="8" t="n">
        <v>45818</v>
      </c>
      <c r="C235" s="3" t="s">
        <v>1157</v>
      </c>
      <c r="D235" s="9" t="n">
        <v>1759230.32</v>
      </c>
      <c r="E235" s="9"/>
      <c r="F235" s="9" t="n">
        <f aca="false">F234+D235-E235</f>
        <v>68407165.46</v>
      </c>
    </row>
    <row r="236" customFormat="false" ht="15" hidden="false" customHeight="false" outlineLevel="0" collapsed="false">
      <c r="A236" s="3" t="s">
        <v>1466</v>
      </c>
      <c r="B236" s="8" t="n">
        <v>45820</v>
      </c>
      <c r="C236" s="3" t="s">
        <v>1157</v>
      </c>
      <c r="D236" s="9" t="n">
        <v>454940.1</v>
      </c>
      <c r="E236" s="9"/>
      <c r="F236" s="9" t="n">
        <f aca="false">F235+D236-E236</f>
        <v>68862105.56</v>
      </c>
    </row>
    <row r="237" customFormat="false" ht="15" hidden="false" customHeight="false" outlineLevel="0" collapsed="false">
      <c r="A237" s="3" t="s">
        <v>1467</v>
      </c>
      <c r="B237" s="8" t="n">
        <v>45820</v>
      </c>
      <c r="C237" s="3" t="s">
        <v>1179</v>
      </c>
      <c r="D237" s="9"/>
      <c r="E237" s="9" t="n">
        <v>312600</v>
      </c>
      <c r="F237" s="9" t="n">
        <f aca="false">F236+D237-E237</f>
        <v>68549505.56</v>
      </c>
    </row>
    <row r="238" customFormat="false" ht="15" hidden="false" customHeight="false" outlineLevel="0" collapsed="false">
      <c r="A238" s="3" t="s">
        <v>1468</v>
      </c>
      <c r="B238" s="8" t="n">
        <v>45820</v>
      </c>
      <c r="C238" s="3" t="s">
        <v>1176</v>
      </c>
      <c r="D238" s="9"/>
      <c r="E238" s="9" t="n">
        <v>189651.72</v>
      </c>
      <c r="F238" s="9" t="n">
        <f aca="false">F237+D238-E238</f>
        <v>68359853.84</v>
      </c>
    </row>
    <row r="239" customFormat="false" ht="15" hidden="false" customHeight="false" outlineLevel="0" collapsed="false">
      <c r="A239" s="3" t="s">
        <v>1469</v>
      </c>
      <c r="B239" s="8" t="n">
        <v>45820</v>
      </c>
      <c r="C239" s="3" t="s">
        <v>1168</v>
      </c>
      <c r="D239" s="9"/>
      <c r="E239" s="9" t="n">
        <v>168243.13</v>
      </c>
      <c r="F239" s="9" t="n">
        <f aca="false">F238+D239-E239</f>
        <v>68191610.71</v>
      </c>
    </row>
    <row r="240" customFormat="false" ht="15" hidden="false" customHeight="false" outlineLevel="0" collapsed="false">
      <c r="A240" s="3" t="s">
        <v>1470</v>
      </c>
      <c r="B240" s="8" t="n">
        <v>45820</v>
      </c>
      <c r="C240" s="3" t="s">
        <v>1471</v>
      </c>
      <c r="D240" s="9"/>
      <c r="E240" s="9" t="n">
        <v>3200000</v>
      </c>
      <c r="F240" s="9" t="n">
        <f aca="false">F239+D240-E240</f>
        <v>64991610.71</v>
      </c>
    </row>
    <row r="241" customFormat="false" ht="15" hidden="false" customHeight="false" outlineLevel="0" collapsed="false">
      <c r="A241" s="3" t="s">
        <v>1472</v>
      </c>
      <c r="B241" s="8" t="n">
        <v>45821</v>
      </c>
      <c r="C241" s="3" t="s">
        <v>1143</v>
      </c>
      <c r="D241" s="9" t="n">
        <v>1844650.27</v>
      </c>
      <c r="E241" s="9"/>
      <c r="F241" s="9" t="n">
        <f aca="false">F240+D241-E241</f>
        <v>66836260.98</v>
      </c>
    </row>
    <row r="242" customFormat="false" ht="15" hidden="false" customHeight="false" outlineLevel="0" collapsed="false">
      <c r="A242" s="3" t="s">
        <v>1473</v>
      </c>
      <c r="B242" s="8" t="n">
        <v>45824</v>
      </c>
      <c r="C242" s="3" t="s">
        <v>1474</v>
      </c>
      <c r="D242" s="9" t="n">
        <v>1585200</v>
      </c>
      <c r="E242" s="9"/>
      <c r="F242" s="9" t="n">
        <f aca="false">F241+D242-E242</f>
        <v>68421460.98</v>
      </c>
    </row>
    <row r="243" customFormat="false" ht="15" hidden="false" customHeight="false" outlineLevel="0" collapsed="false">
      <c r="A243" s="3" t="s">
        <v>1475</v>
      </c>
      <c r="B243" s="8" t="n">
        <v>45824</v>
      </c>
      <c r="C243" s="3" t="s">
        <v>1476</v>
      </c>
      <c r="D243" s="9"/>
      <c r="E243" s="9" t="n">
        <v>828000</v>
      </c>
      <c r="F243" s="9" t="n">
        <f aca="false">F242+D243-E243</f>
        <v>67593460.98</v>
      </c>
    </row>
    <row r="244" customFormat="false" ht="15" hidden="false" customHeight="false" outlineLevel="0" collapsed="false">
      <c r="A244" s="3" t="s">
        <v>1477</v>
      </c>
      <c r="B244" s="8" t="n">
        <v>45824</v>
      </c>
      <c r="C244" s="3" t="s">
        <v>1176</v>
      </c>
      <c r="D244" s="9"/>
      <c r="E244" s="9" t="n">
        <v>218327.83</v>
      </c>
      <c r="F244" s="9" t="n">
        <f aca="false">F243+D244-E244</f>
        <v>67375133.15</v>
      </c>
    </row>
    <row r="245" customFormat="false" ht="15" hidden="false" customHeight="false" outlineLevel="0" collapsed="false">
      <c r="A245" s="3" t="s">
        <v>1478</v>
      </c>
      <c r="B245" s="8" t="n">
        <v>45824</v>
      </c>
      <c r="C245" s="3" t="s">
        <v>1189</v>
      </c>
      <c r="D245" s="9"/>
      <c r="E245" s="9" t="n">
        <v>527000</v>
      </c>
      <c r="F245" s="9" t="n">
        <f aca="false">F244+D245-E245</f>
        <v>66848133.15</v>
      </c>
    </row>
    <row r="246" customFormat="false" ht="15" hidden="false" customHeight="false" outlineLevel="0" collapsed="false">
      <c r="A246" s="3" t="s">
        <v>1479</v>
      </c>
      <c r="B246" s="8" t="n">
        <v>45825</v>
      </c>
      <c r="C246" s="3" t="s">
        <v>1157</v>
      </c>
      <c r="D246" s="9" t="n">
        <v>485892.5</v>
      </c>
      <c r="E246" s="9"/>
      <c r="F246" s="9" t="n">
        <f aca="false">F245+D246-E246</f>
        <v>67334025.65</v>
      </c>
    </row>
    <row r="247" customFormat="false" ht="15" hidden="false" customHeight="false" outlineLevel="0" collapsed="false">
      <c r="A247" s="3" t="s">
        <v>1480</v>
      </c>
      <c r="B247" s="8" t="n">
        <v>45825</v>
      </c>
      <c r="C247" s="3" t="s">
        <v>1481</v>
      </c>
      <c r="D247" s="9"/>
      <c r="E247" s="9" t="n">
        <v>5000000</v>
      </c>
      <c r="F247" s="9" t="n">
        <f aca="false">F246+D247-E247</f>
        <v>62334025.65</v>
      </c>
    </row>
    <row r="248" customFormat="false" ht="15" hidden="false" customHeight="false" outlineLevel="0" collapsed="false">
      <c r="A248" s="3" t="s">
        <v>1482</v>
      </c>
      <c r="B248" s="8" t="n">
        <v>45826</v>
      </c>
      <c r="C248" s="3" t="s">
        <v>1483</v>
      </c>
      <c r="D248" s="9"/>
      <c r="E248" s="9" t="n">
        <v>275000</v>
      </c>
      <c r="F248" s="9" t="n">
        <f aca="false">F247+D248-E248</f>
        <v>62059025.65</v>
      </c>
    </row>
    <row r="249" customFormat="false" ht="15" hidden="false" customHeight="false" outlineLevel="0" collapsed="false">
      <c r="A249" s="3" t="s">
        <v>1484</v>
      </c>
      <c r="B249" s="8" t="n">
        <v>45826</v>
      </c>
      <c r="C249" s="3" t="s">
        <v>1153</v>
      </c>
      <c r="D249" s="9"/>
      <c r="E249" s="9" t="n">
        <v>193657.18</v>
      </c>
      <c r="F249" s="9" t="n">
        <f aca="false">F248+D249-E249</f>
        <v>61865368.47</v>
      </c>
    </row>
    <row r="250" customFormat="false" ht="15" hidden="false" customHeight="false" outlineLevel="0" collapsed="false">
      <c r="A250" s="3" t="s">
        <v>1485</v>
      </c>
      <c r="B250" s="8" t="n">
        <v>45828</v>
      </c>
      <c r="C250" s="3" t="s">
        <v>1143</v>
      </c>
      <c r="D250" s="9" t="n">
        <v>872140.36</v>
      </c>
      <c r="E250" s="9"/>
      <c r="F250" s="9" t="n">
        <f aca="false">F249+D250-E250</f>
        <v>62737508.83</v>
      </c>
    </row>
    <row r="251" customFormat="false" ht="15" hidden="false" customHeight="false" outlineLevel="0" collapsed="false">
      <c r="A251" s="3" t="s">
        <v>1486</v>
      </c>
      <c r="B251" s="8" t="n">
        <v>45828</v>
      </c>
      <c r="C251" s="3" t="s">
        <v>1487</v>
      </c>
      <c r="D251" s="9"/>
      <c r="E251" s="9" t="n">
        <v>1157080.6</v>
      </c>
      <c r="F251" s="9" t="n">
        <f aca="false">F250+D251-E251</f>
        <v>61580428.23</v>
      </c>
    </row>
    <row r="252" customFormat="false" ht="15" hidden="false" customHeight="false" outlineLevel="0" collapsed="false">
      <c r="A252" s="3" t="s">
        <v>1488</v>
      </c>
      <c r="B252" s="8" t="n">
        <v>45828</v>
      </c>
      <c r="C252" s="3" t="s">
        <v>1489</v>
      </c>
      <c r="D252" s="9"/>
      <c r="E252" s="9" t="n">
        <v>2268400</v>
      </c>
      <c r="F252" s="9" t="n">
        <f aca="false">F251+D252-E252</f>
        <v>59312028.23</v>
      </c>
    </row>
    <row r="253" customFormat="false" ht="15" hidden="false" customHeight="false" outlineLevel="0" collapsed="false">
      <c r="A253" s="3" t="s">
        <v>1490</v>
      </c>
      <c r="B253" s="8" t="n">
        <v>45831</v>
      </c>
      <c r="C253" s="3" t="s">
        <v>1196</v>
      </c>
      <c r="D253" s="9" t="n">
        <v>1661600</v>
      </c>
      <c r="E253" s="9"/>
      <c r="F253" s="9" t="n">
        <f aca="false">F252+D253-E253</f>
        <v>60973628.23</v>
      </c>
    </row>
    <row r="254" customFormat="false" ht="15" hidden="false" customHeight="false" outlineLevel="0" collapsed="false">
      <c r="A254" s="3" t="s">
        <v>1491</v>
      </c>
      <c r="B254" s="8" t="n">
        <v>45831</v>
      </c>
      <c r="C254" s="3" t="s">
        <v>1151</v>
      </c>
      <c r="D254" s="9" t="n">
        <v>796959.24</v>
      </c>
      <c r="E254" s="9"/>
      <c r="F254" s="9" t="n">
        <f aca="false">F253+D254-E254</f>
        <v>61770587.47</v>
      </c>
    </row>
    <row r="255" customFormat="false" ht="15" hidden="false" customHeight="false" outlineLevel="0" collapsed="false">
      <c r="A255" s="3" t="s">
        <v>1492</v>
      </c>
      <c r="B255" s="8" t="n">
        <v>45831</v>
      </c>
      <c r="C255" s="3" t="s">
        <v>1191</v>
      </c>
      <c r="D255" s="9"/>
      <c r="E255" s="9" t="n">
        <v>218564.32</v>
      </c>
      <c r="F255" s="9" t="n">
        <f aca="false">F254+D255-E255</f>
        <v>61552023.15</v>
      </c>
    </row>
    <row r="256" customFormat="false" ht="15" hidden="false" customHeight="false" outlineLevel="0" collapsed="false">
      <c r="A256" s="3" t="s">
        <v>1493</v>
      </c>
      <c r="B256" s="8" t="n">
        <v>45831</v>
      </c>
      <c r="C256" s="3" t="s">
        <v>1494</v>
      </c>
      <c r="D256" s="9"/>
      <c r="E256" s="9" t="n">
        <v>50000</v>
      </c>
      <c r="F256" s="9" t="n">
        <f aca="false">F255+D256-E256</f>
        <v>61502023.15</v>
      </c>
    </row>
    <row r="257" customFormat="false" ht="15" hidden="false" customHeight="false" outlineLevel="0" collapsed="false">
      <c r="A257" s="3" t="s">
        <v>1495</v>
      </c>
      <c r="B257" s="8" t="n">
        <v>45832</v>
      </c>
      <c r="C257" s="3" t="s">
        <v>1182</v>
      </c>
      <c r="D257" s="9"/>
      <c r="E257" s="9" t="n">
        <v>2793100</v>
      </c>
      <c r="F257" s="9" t="n">
        <f aca="false">F256+D257-E257</f>
        <v>58708923.15</v>
      </c>
    </row>
    <row r="258" customFormat="false" ht="15" hidden="false" customHeight="false" outlineLevel="0" collapsed="false">
      <c r="A258" s="3" t="s">
        <v>1496</v>
      </c>
      <c r="B258" s="8" t="n">
        <v>45834</v>
      </c>
      <c r="C258" s="3" t="s">
        <v>1245</v>
      </c>
      <c r="D258" s="9"/>
      <c r="E258" s="9" t="n">
        <v>750000</v>
      </c>
      <c r="F258" s="9" t="n">
        <f aca="false">F257+D258-E258</f>
        <v>57958923.15</v>
      </c>
    </row>
    <row r="259" customFormat="false" ht="15" hidden="false" customHeight="false" outlineLevel="0" collapsed="false">
      <c r="A259" s="3" t="s">
        <v>1497</v>
      </c>
      <c r="B259" s="8" t="n">
        <v>45835</v>
      </c>
      <c r="C259" s="3" t="s">
        <v>1143</v>
      </c>
      <c r="D259" s="9" t="n">
        <v>1366193.46</v>
      </c>
      <c r="E259" s="9"/>
      <c r="F259" s="9" t="n">
        <f aca="false">F258+D259-E259</f>
        <v>59325116.61</v>
      </c>
    </row>
    <row r="260" customFormat="false" ht="15" hidden="false" customHeight="false" outlineLevel="0" collapsed="false">
      <c r="A260" s="3" t="s">
        <v>1498</v>
      </c>
      <c r="B260" s="8" t="n">
        <v>45835</v>
      </c>
      <c r="C260" s="3" t="s">
        <v>1499</v>
      </c>
      <c r="D260" s="9"/>
      <c r="E260" s="9" t="n">
        <v>3781200</v>
      </c>
      <c r="F260" s="9" t="n">
        <f aca="false">F259+D260-E260</f>
        <v>55543916.61</v>
      </c>
    </row>
    <row r="261" customFormat="false" ht="15" hidden="false" customHeight="false" outlineLevel="0" collapsed="false">
      <c r="A261" s="3" t="s">
        <v>1500</v>
      </c>
      <c r="B261" s="8" t="n">
        <v>45838</v>
      </c>
      <c r="C261" s="3" t="s">
        <v>1501</v>
      </c>
      <c r="D261" s="9"/>
      <c r="E261" s="9" t="n">
        <v>10398.9</v>
      </c>
      <c r="F261" s="9" t="n">
        <f aca="false">F260+D261-E261</f>
        <v>55533517.71</v>
      </c>
    </row>
    <row r="262" customFormat="false" ht="15" hidden="false" customHeight="false" outlineLevel="0" collapsed="false">
      <c r="A262" s="3" t="s">
        <v>1502</v>
      </c>
      <c r="B262" s="8" t="n">
        <v>45840</v>
      </c>
      <c r="C262" s="3" t="s">
        <v>1196</v>
      </c>
      <c r="D262" s="9" t="n">
        <v>2843300</v>
      </c>
      <c r="E262" s="9"/>
      <c r="F262" s="9" t="n">
        <f aca="false">F261+D262-E262</f>
        <v>58376817.71</v>
      </c>
    </row>
    <row r="263" customFormat="false" ht="15" hidden="false" customHeight="false" outlineLevel="0" collapsed="false">
      <c r="A263" s="3" t="s">
        <v>1503</v>
      </c>
      <c r="B263" s="8" t="n">
        <v>45840</v>
      </c>
      <c r="C263" s="3" t="s">
        <v>1145</v>
      </c>
      <c r="D263" s="9"/>
      <c r="E263" s="9" t="n">
        <v>85000</v>
      </c>
      <c r="F263" s="9" t="n">
        <f aca="false">F262+D263-E263</f>
        <v>58291817.71</v>
      </c>
    </row>
    <row r="264" customFormat="false" ht="15" hidden="false" customHeight="false" outlineLevel="0" collapsed="false">
      <c r="A264" s="3" t="s">
        <v>1504</v>
      </c>
      <c r="B264" s="8" t="n">
        <v>45841</v>
      </c>
      <c r="C264" s="3" t="s">
        <v>1196</v>
      </c>
      <c r="D264" s="9" t="n">
        <v>4134700</v>
      </c>
      <c r="E264" s="9"/>
      <c r="F264" s="9" t="n">
        <f aca="false">F263+D264-E264</f>
        <v>62426517.71</v>
      </c>
    </row>
    <row r="265" customFormat="false" ht="15" hidden="false" customHeight="false" outlineLevel="0" collapsed="false">
      <c r="A265" s="3" t="s">
        <v>1505</v>
      </c>
      <c r="B265" s="8" t="n">
        <v>45841</v>
      </c>
      <c r="C265" s="3" t="s">
        <v>1143</v>
      </c>
      <c r="D265" s="9" t="n">
        <v>648263.41</v>
      </c>
      <c r="E265" s="9"/>
      <c r="F265" s="9" t="n">
        <f aca="false">F264+D265-E265</f>
        <v>63074781.12</v>
      </c>
    </row>
    <row r="266" customFormat="false" ht="15" hidden="false" customHeight="false" outlineLevel="0" collapsed="false">
      <c r="A266" s="3" t="s">
        <v>1506</v>
      </c>
      <c r="B266" s="8" t="n">
        <v>45841</v>
      </c>
      <c r="C266" s="3" t="s">
        <v>1179</v>
      </c>
      <c r="D266" s="9"/>
      <c r="E266" s="9" t="n">
        <v>287600</v>
      </c>
      <c r="F266" s="9" t="n">
        <f aca="false">F265+D266-E266</f>
        <v>62787181.12</v>
      </c>
    </row>
    <row r="267" customFormat="false" ht="15" hidden="false" customHeight="false" outlineLevel="0" collapsed="false">
      <c r="A267" s="3" t="s">
        <v>1507</v>
      </c>
      <c r="B267" s="8" t="n">
        <v>45845</v>
      </c>
      <c r="C267" s="3" t="s">
        <v>1157</v>
      </c>
      <c r="D267" s="9" t="n">
        <v>478485.47</v>
      </c>
      <c r="E267" s="9"/>
      <c r="F267" s="9" t="n">
        <f aca="false">F266+D267-E267</f>
        <v>63265666.59</v>
      </c>
    </row>
    <row r="268" customFormat="false" ht="15" hidden="false" customHeight="false" outlineLevel="0" collapsed="false">
      <c r="A268" s="3" t="s">
        <v>1508</v>
      </c>
      <c r="B268" s="8" t="n">
        <v>45845</v>
      </c>
      <c r="C268" s="3" t="s">
        <v>1235</v>
      </c>
      <c r="D268" s="9"/>
      <c r="E268" s="9" t="n">
        <v>1040900</v>
      </c>
      <c r="F268" s="9" t="n">
        <f aca="false">F267+D268-E268</f>
        <v>62224766.59</v>
      </c>
    </row>
    <row r="269" customFormat="false" ht="15" hidden="false" customHeight="false" outlineLevel="0" collapsed="false">
      <c r="A269" s="3" t="s">
        <v>1509</v>
      </c>
      <c r="B269" s="8" t="n">
        <v>45845</v>
      </c>
      <c r="C269" s="3" t="s">
        <v>1179</v>
      </c>
      <c r="D269" s="9"/>
      <c r="E269" s="9" t="n">
        <v>261500</v>
      </c>
      <c r="F269" s="9" t="n">
        <f aca="false">F268+D269-E269</f>
        <v>61963266.59</v>
      </c>
    </row>
    <row r="270" customFormat="false" ht="15" hidden="false" customHeight="false" outlineLevel="0" collapsed="false">
      <c r="A270" s="3" t="s">
        <v>1510</v>
      </c>
      <c r="B270" s="8" t="n">
        <v>45845</v>
      </c>
      <c r="C270" s="3" t="s">
        <v>1153</v>
      </c>
      <c r="D270" s="9"/>
      <c r="E270" s="9" t="n">
        <v>244801.5</v>
      </c>
      <c r="F270" s="9" t="n">
        <f aca="false">F269+D270-E270</f>
        <v>61718465.09</v>
      </c>
    </row>
    <row r="271" customFormat="false" ht="15" hidden="false" customHeight="false" outlineLevel="0" collapsed="false">
      <c r="A271" s="3" t="s">
        <v>1511</v>
      </c>
      <c r="B271" s="8" t="n">
        <v>45845</v>
      </c>
      <c r="C271" s="3" t="s">
        <v>1512</v>
      </c>
      <c r="D271" s="9"/>
      <c r="E271" s="9" t="n">
        <v>1500000</v>
      </c>
      <c r="F271" s="9" t="n">
        <f aca="false">F270+D271-E271</f>
        <v>60218465.09</v>
      </c>
    </row>
    <row r="272" customFormat="false" ht="15" hidden="false" customHeight="false" outlineLevel="0" collapsed="false">
      <c r="A272" s="3" t="s">
        <v>1513</v>
      </c>
      <c r="B272" s="8" t="n">
        <v>45845</v>
      </c>
      <c r="C272" s="3" t="s">
        <v>1151</v>
      </c>
      <c r="D272" s="9" t="n">
        <v>363379.03</v>
      </c>
      <c r="E272" s="9"/>
      <c r="F272" s="9" t="n">
        <f aca="false">F271+D272-E272</f>
        <v>60581844.12</v>
      </c>
    </row>
    <row r="273" customFormat="false" ht="15" hidden="false" customHeight="false" outlineLevel="0" collapsed="false">
      <c r="A273" s="3" t="s">
        <v>1514</v>
      </c>
      <c r="B273" s="8" t="n">
        <v>45845</v>
      </c>
      <c r="C273" s="3" t="s">
        <v>1515</v>
      </c>
      <c r="D273" s="9"/>
      <c r="E273" s="9" t="n">
        <v>2396800</v>
      </c>
      <c r="F273" s="9" t="n">
        <f aca="false">F272+D273-E273</f>
        <v>58185044.12</v>
      </c>
    </row>
    <row r="274" customFormat="false" ht="15" hidden="false" customHeight="false" outlineLevel="0" collapsed="false">
      <c r="A274" s="3" t="s">
        <v>1516</v>
      </c>
      <c r="B274" s="8" t="n">
        <v>45846</v>
      </c>
      <c r="C274" s="3" t="s">
        <v>1517</v>
      </c>
      <c r="D274" s="9" t="n">
        <v>1661800</v>
      </c>
      <c r="E274" s="9"/>
      <c r="F274" s="9" t="n">
        <f aca="false">F273+D274-E274</f>
        <v>59846844.12</v>
      </c>
    </row>
    <row r="275" customFormat="false" ht="15" hidden="false" customHeight="false" outlineLevel="0" collapsed="false">
      <c r="A275" s="3" t="s">
        <v>1518</v>
      </c>
      <c r="B275" s="8" t="n">
        <v>45846</v>
      </c>
      <c r="C275" s="3" t="s">
        <v>1519</v>
      </c>
      <c r="D275" s="9"/>
      <c r="E275" s="9" t="n">
        <v>1057421.95</v>
      </c>
      <c r="F275" s="9" t="n">
        <f aca="false">F274+D275-E275</f>
        <v>58789422.17</v>
      </c>
    </row>
    <row r="276" customFormat="false" ht="15" hidden="false" customHeight="false" outlineLevel="0" collapsed="false">
      <c r="A276" s="3" t="s">
        <v>1520</v>
      </c>
      <c r="B276" s="8" t="n">
        <v>45847</v>
      </c>
      <c r="C276" s="3" t="s">
        <v>1189</v>
      </c>
      <c r="D276" s="9"/>
      <c r="E276" s="9" t="n">
        <v>519000</v>
      </c>
      <c r="F276" s="9" t="n">
        <f aca="false">F275+D276-E276</f>
        <v>58270422.17</v>
      </c>
    </row>
    <row r="277" customFormat="false" ht="15" hidden="false" customHeight="false" outlineLevel="0" collapsed="false">
      <c r="A277" s="3" t="s">
        <v>1521</v>
      </c>
      <c r="B277" s="8" t="n">
        <v>45848</v>
      </c>
      <c r="C277" s="3" t="s">
        <v>1522</v>
      </c>
      <c r="D277" s="9"/>
      <c r="E277" s="9" t="n">
        <v>450800</v>
      </c>
      <c r="F277" s="9" t="n">
        <f aca="false">F276+D277-E277</f>
        <v>57819622.17</v>
      </c>
    </row>
    <row r="278" customFormat="false" ht="15" hidden="false" customHeight="false" outlineLevel="0" collapsed="false">
      <c r="A278" s="3" t="s">
        <v>1523</v>
      </c>
      <c r="B278" s="8" t="n">
        <v>45848</v>
      </c>
      <c r="C278" s="3" t="s">
        <v>1143</v>
      </c>
      <c r="D278" s="9" t="n">
        <v>1822400.73</v>
      </c>
      <c r="E278" s="9"/>
      <c r="F278" s="9" t="n">
        <f aca="false">F277+D278-E278</f>
        <v>59642022.9</v>
      </c>
    </row>
    <row r="279" customFormat="false" ht="15" hidden="false" customHeight="false" outlineLevel="0" collapsed="false">
      <c r="A279" s="3" t="s">
        <v>1524</v>
      </c>
      <c r="B279" s="8" t="n">
        <v>45852</v>
      </c>
      <c r="C279" s="3" t="s">
        <v>1230</v>
      </c>
      <c r="D279" s="9"/>
      <c r="E279" s="9" t="n">
        <v>2731900</v>
      </c>
      <c r="F279" s="9" t="n">
        <f aca="false">F278+D279-E279</f>
        <v>56910122.9</v>
      </c>
    </row>
    <row r="280" customFormat="false" ht="15" hidden="false" customHeight="false" outlineLevel="0" collapsed="false">
      <c r="A280" s="3" t="s">
        <v>1525</v>
      </c>
      <c r="B280" s="8" t="n">
        <v>45852</v>
      </c>
      <c r="C280" s="3" t="s">
        <v>1168</v>
      </c>
      <c r="D280" s="9"/>
      <c r="E280" s="9" t="n">
        <v>241002.15</v>
      </c>
      <c r="F280" s="9" t="n">
        <f aca="false">F279+D280-E280</f>
        <v>56669120.75</v>
      </c>
    </row>
    <row r="281" customFormat="false" ht="15" hidden="false" customHeight="false" outlineLevel="0" collapsed="false">
      <c r="A281" s="3" t="s">
        <v>1526</v>
      </c>
      <c r="B281" s="8" t="n">
        <v>45852</v>
      </c>
      <c r="C281" s="3" t="s">
        <v>1527</v>
      </c>
      <c r="D281" s="9"/>
      <c r="E281" s="9" t="n">
        <v>1850000</v>
      </c>
      <c r="F281" s="9" t="n">
        <f aca="false">F280+D281-E281</f>
        <v>54819120.75</v>
      </c>
    </row>
    <row r="282" customFormat="false" ht="15" hidden="false" customHeight="false" outlineLevel="0" collapsed="false">
      <c r="A282" s="3" t="s">
        <v>1528</v>
      </c>
      <c r="B282" s="8" t="n">
        <v>45853</v>
      </c>
      <c r="C282" s="3" t="s">
        <v>1529</v>
      </c>
      <c r="D282" s="9"/>
      <c r="E282" s="9" t="n">
        <v>828000</v>
      </c>
      <c r="F282" s="9" t="n">
        <f aca="false">F281+D282-E282</f>
        <v>53991120.75</v>
      </c>
    </row>
    <row r="283" customFormat="false" ht="15" hidden="false" customHeight="false" outlineLevel="0" collapsed="false">
      <c r="A283" s="3" t="s">
        <v>1530</v>
      </c>
      <c r="B283" s="8" t="n">
        <v>45855</v>
      </c>
      <c r="C283" s="3" t="s">
        <v>1531</v>
      </c>
      <c r="D283" s="9" t="n">
        <v>4244600</v>
      </c>
      <c r="E283" s="9"/>
      <c r="F283" s="9" t="n">
        <f aca="false">F282+D283-E283</f>
        <v>58235720.75</v>
      </c>
    </row>
    <row r="284" customFormat="false" ht="15" hidden="false" customHeight="false" outlineLevel="0" collapsed="false">
      <c r="A284" s="3" t="s">
        <v>1532</v>
      </c>
      <c r="B284" s="8" t="n">
        <v>45855</v>
      </c>
      <c r="C284" s="3" t="s">
        <v>1533</v>
      </c>
      <c r="D284" s="9"/>
      <c r="E284" s="9" t="n">
        <v>650000</v>
      </c>
      <c r="F284" s="9" t="n">
        <f aca="false">F283+D284-E284</f>
        <v>57585720.75</v>
      </c>
    </row>
    <row r="285" customFormat="false" ht="15" hidden="false" customHeight="false" outlineLevel="0" collapsed="false">
      <c r="A285" s="3" t="s">
        <v>1534</v>
      </c>
      <c r="B285" s="8" t="n">
        <v>45856</v>
      </c>
      <c r="C285" s="3" t="s">
        <v>1535</v>
      </c>
      <c r="D285" s="9"/>
      <c r="E285" s="9" t="n">
        <v>10000000</v>
      </c>
      <c r="F285" s="9" t="n">
        <f aca="false">F284+D285-E285</f>
        <v>47585720.75</v>
      </c>
    </row>
    <row r="286" customFormat="false" ht="15" hidden="false" customHeight="false" outlineLevel="0" collapsed="false">
      <c r="A286" s="3" t="s">
        <v>1536</v>
      </c>
      <c r="B286" s="8" t="n">
        <v>45856</v>
      </c>
      <c r="C286" s="3" t="s">
        <v>1157</v>
      </c>
      <c r="D286" s="9" t="n">
        <v>1664180.39</v>
      </c>
      <c r="E286" s="9"/>
      <c r="F286" s="9" t="n">
        <f aca="false">F285+D286-E286</f>
        <v>49249901.14</v>
      </c>
    </row>
    <row r="287" customFormat="false" ht="15" hidden="false" customHeight="false" outlineLevel="0" collapsed="false">
      <c r="A287" s="3" t="s">
        <v>1537</v>
      </c>
      <c r="B287" s="8" t="n">
        <v>45856</v>
      </c>
      <c r="C287" s="3" t="s">
        <v>1538</v>
      </c>
      <c r="D287" s="9" t="n">
        <v>4703300</v>
      </c>
      <c r="E287" s="9"/>
      <c r="F287" s="9" t="n">
        <f aca="false">F286+D287-E287</f>
        <v>53953201.14</v>
      </c>
    </row>
    <row r="288" customFormat="false" ht="15" hidden="false" customHeight="false" outlineLevel="0" collapsed="false">
      <c r="A288" s="3" t="s">
        <v>1539</v>
      </c>
      <c r="B288" s="8" t="n">
        <v>45856</v>
      </c>
      <c r="C288" s="3" t="s">
        <v>1191</v>
      </c>
      <c r="D288" s="9"/>
      <c r="E288" s="9" t="n">
        <v>176721.31</v>
      </c>
      <c r="F288" s="9" t="n">
        <f aca="false">F287+D288-E288</f>
        <v>53776479.83</v>
      </c>
    </row>
    <row r="289" customFormat="false" ht="15" hidden="false" customHeight="false" outlineLevel="0" collapsed="false">
      <c r="A289" s="3" t="s">
        <v>1540</v>
      </c>
      <c r="B289" s="8" t="n">
        <v>45859</v>
      </c>
      <c r="C289" s="3" t="s">
        <v>1196</v>
      </c>
      <c r="D289" s="9" t="n">
        <v>3959300</v>
      </c>
      <c r="E289" s="9"/>
      <c r="F289" s="9" t="n">
        <f aca="false">F288+D289-E289</f>
        <v>57735779.83</v>
      </c>
    </row>
    <row r="290" customFormat="false" ht="15" hidden="false" customHeight="false" outlineLevel="0" collapsed="false">
      <c r="A290" s="3" t="s">
        <v>1541</v>
      </c>
      <c r="B290" s="8" t="n">
        <v>45859</v>
      </c>
      <c r="C290" s="3" t="s">
        <v>1542</v>
      </c>
      <c r="D290" s="9" t="n">
        <v>892100</v>
      </c>
      <c r="E290" s="9"/>
      <c r="F290" s="9" t="n">
        <f aca="false">F289+D290-E290</f>
        <v>58627879.83</v>
      </c>
    </row>
    <row r="291" customFormat="false" ht="15" hidden="false" customHeight="false" outlineLevel="0" collapsed="false">
      <c r="A291" s="3" t="s">
        <v>1543</v>
      </c>
      <c r="B291" s="8" t="n">
        <v>45859</v>
      </c>
      <c r="C291" s="3" t="s">
        <v>1143</v>
      </c>
      <c r="D291" s="9" t="n">
        <v>1394992.88</v>
      </c>
      <c r="E291" s="9"/>
      <c r="F291" s="9" t="n">
        <f aca="false">F290+D291-E291</f>
        <v>60022872.71</v>
      </c>
    </row>
    <row r="292" customFormat="false" ht="15" hidden="false" customHeight="false" outlineLevel="0" collapsed="false">
      <c r="A292" s="3" t="s">
        <v>1544</v>
      </c>
      <c r="B292" s="8" t="n">
        <v>45859</v>
      </c>
      <c r="C292" s="3" t="s">
        <v>1157</v>
      </c>
      <c r="D292" s="9" t="n">
        <v>736955.73</v>
      </c>
      <c r="E292" s="9"/>
      <c r="F292" s="9" t="n">
        <f aca="false">F291+D292-E292</f>
        <v>60759828.44</v>
      </c>
    </row>
    <row r="293" customFormat="false" ht="15" hidden="false" customHeight="false" outlineLevel="0" collapsed="false">
      <c r="A293" s="3" t="s">
        <v>1545</v>
      </c>
      <c r="B293" s="8" t="n">
        <v>45859</v>
      </c>
      <c r="C293" s="3" t="s">
        <v>1546</v>
      </c>
      <c r="D293" s="9"/>
      <c r="E293" s="9" t="n">
        <v>1179837.76</v>
      </c>
      <c r="F293" s="9" t="n">
        <f aca="false">F292+D293-E293</f>
        <v>59579990.68</v>
      </c>
    </row>
    <row r="294" customFormat="false" ht="15" hidden="false" customHeight="false" outlineLevel="0" collapsed="false">
      <c r="A294" s="3" t="s">
        <v>1547</v>
      </c>
      <c r="B294" s="8" t="n">
        <v>45859</v>
      </c>
      <c r="C294" s="3" t="s">
        <v>1176</v>
      </c>
      <c r="D294" s="9"/>
      <c r="E294" s="9" t="n">
        <v>329949.86</v>
      </c>
      <c r="F294" s="9" t="n">
        <f aca="false">F293+D294-E294</f>
        <v>59250040.82</v>
      </c>
    </row>
    <row r="295" customFormat="false" ht="15" hidden="false" customHeight="false" outlineLevel="0" collapsed="false">
      <c r="A295" s="3" t="s">
        <v>1548</v>
      </c>
      <c r="B295" s="8" t="n">
        <v>45860</v>
      </c>
      <c r="C295" s="3" t="s">
        <v>1549</v>
      </c>
      <c r="D295" s="9"/>
      <c r="E295" s="9" t="n">
        <v>2205200</v>
      </c>
      <c r="F295" s="9" t="n">
        <f aca="false">F294+D295-E295</f>
        <v>57044840.82</v>
      </c>
    </row>
    <row r="296" customFormat="false" ht="15" hidden="false" customHeight="false" outlineLevel="0" collapsed="false">
      <c r="A296" s="3" t="s">
        <v>1550</v>
      </c>
      <c r="B296" s="8" t="n">
        <v>45861</v>
      </c>
      <c r="C296" s="3" t="s">
        <v>1151</v>
      </c>
      <c r="D296" s="9" t="n">
        <v>517732.58</v>
      </c>
      <c r="E296" s="9"/>
      <c r="F296" s="9" t="n">
        <f aca="false">F295+D296-E296</f>
        <v>57562573.4</v>
      </c>
    </row>
    <row r="297" customFormat="false" ht="15" hidden="false" customHeight="false" outlineLevel="0" collapsed="false">
      <c r="A297" s="3" t="s">
        <v>1551</v>
      </c>
      <c r="B297" s="8" t="n">
        <v>45861</v>
      </c>
      <c r="C297" s="3" t="s">
        <v>1153</v>
      </c>
      <c r="D297" s="9"/>
      <c r="E297" s="9" t="n">
        <v>239328.69</v>
      </c>
      <c r="F297" s="9" t="n">
        <f aca="false">F296+D297-E297</f>
        <v>57323244.71</v>
      </c>
    </row>
    <row r="298" customFormat="false" ht="15" hidden="false" customHeight="false" outlineLevel="0" collapsed="false">
      <c r="A298" s="3" t="s">
        <v>1552</v>
      </c>
      <c r="B298" s="8" t="n">
        <v>45861</v>
      </c>
      <c r="C298" s="3" t="s">
        <v>1176</v>
      </c>
      <c r="D298" s="9"/>
      <c r="E298" s="9" t="n">
        <v>218344.88</v>
      </c>
      <c r="F298" s="9" t="n">
        <f aca="false">F297+D298-E298</f>
        <v>57104899.83</v>
      </c>
    </row>
    <row r="299" customFormat="false" ht="15" hidden="false" customHeight="false" outlineLevel="0" collapsed="false">
      <c r="A299" s="3" t="s">
        <v>1553</v>
      </c>
      <c r="B299" s="8" t="n">
        <v>45863</v>
      </c>
      <c r="C299" s="3" t="s">
        <v>1212</v>
      </c>
      <c r="D299" s="9"/>
      <c r="E299" s="9" t="n">
        <v>2471900</v>
      </c>
      <c r="F299" s="9" t="n">
        <f aca="false">F298+D299-E299</f>
        <v>54632999.83</v>
      </c>
    </row>
    <row r="300" customFormat="false" ht="15" hidden="false" customHeight="false" outlineLevel="0" collapsed="false">
      <c r="A300" s="3" t="s">
        <v>1554</v>
      </c>
      <c r="B300" s="8" t="n">
        <v>45863</v>
      </c>
      <c r="C300" s="3" t="s">
        <v>1153</v>
      </c>
      <c r="D300" s="9"/>
      <c r="E300" s="9" t="n">
        <v>277377.81</v>
      </c>
      <c r="F300" s="9" t="n">
        <f aca="false">F299+D300-E300</f>
        <v>54355622.02</v>
      </c>
    </row>
    <row r="301" customFormat="false" ht="15" hidden="false" customHeight="false" outlineLevel="0" collapsed="false">
      <c r="A301" s="3" t="s">
        <v>1555</v>
      </c>
      <c r="B301" s="8" t="n">
        <v>45866</v>
      </c>
      <c r="C301" s="3" t="s">
        <v>1556</v>
      </c>
      <c r="D301" s="9" t="n">
        <v>4369500</v>
      </c>
      <c r="E301" s="9"/>
      <c r="F301" s="9" t="n">
        <f aca="false">F300+D301-E301</f>
        <v>58725122.02</v>
      </c>
    </row>
    <row r="302" customFormat="false" ht="15" hidden="false" customHeight="false" outlineLevel="0" collapsed="false">
      <c r="A302" s="3" t="s">
        <v>1557</v>
      </c>
      <c r="B302" s="8" t="n">
        <v>45866</v>
      </c>
      <c r="C302" s="3" t="s">
        <v>1143</v>
      </c>
      <c r="D302" s="9" t="n">
        <v>722799.77</v>
      </c>
      <c r="E302" s="9"/>
      <c r="F302" s="9" t="n">
        <f aca="false">F301+D302-E302</f>
        <v>59447921.79</v>
      </c>
    </row>
    <row r="303" customFormat="false" ht="15" hidden="false" customHeight="false" outlineLevel="0" collapsed="false">
      <c r="A303" s="3" t="s">
        <v>1558</v>
      </c>
      <c r="B303" s="8" t="n">
        <v>45866</v>
      </c>
      <c r="C303" s="3" t="s">
        <v>1559</v>
      </c>
      <c r="D303" s="9"/>
      <c r="E303" s="9" t="n">
        <v>4085300</v>
      </c>
      <c r="F303" s="9" t="n">
        <f aca="false">F302+D303-E303</f>
        <v>55362621.79</v>
      </c>
    </row>
    <row r="304" customFormat="false" ht="15" hidden="false" customHeight="false" outlineLevel="0" collapsed="false">
      <c r="A304" s="3" t="s">
        <v>1560</v>
      </c>
      <c r="B304" s="8" t="n">
        <v>45868</v>
      </c>
      <c r="C304" s="3" t="s">
        <v>1561</v>
      </c>
      <c r="D304" s="9"/>
      <c r="E304" s="9" t="n">
        <v>2687600</v>
      </c>
      <c r="F304" s="9" t="n">
        <f aca="false">F303+D304-E304</f>
        <v>52675021.79</v>
      </c>
    </row>
    <row r="305" customFormat="false" ht="15" hidden="false" customHeight="false" outlineLevel="0" collapsed="false">
      <c r="A305" s="3" t="s">
        <v>1562</v>
      </c>
      <c r="B305" s="8" t="n">
        <v>45869</v>
      </c>
      <c r="C305" s="3" t="s">
        <v>1563</v>
      </c>
      <c r="D305" s="9" t="n">
        <v>3188800</v>
      </c>
      <c r="E305" s="9"/>
      <c r="F305" s="9" t="n">
        <f aca="false">F304+D305-E305</f>
        <v>55863821.79</v>
      </c>
    </row>
    <row r="306" customFormat="false" ht="15" hidden="false" customHeight="false" outlineLevel="0" collapsed="false">
      <c r="A306" s="3" t="s">
        <v>1564</v>
      </c>
      <c r="B306" s="8" t="n">
        <v>45869</v>
      </c>
      <c r="C306" s="3" t="s">
        <v>1565</v>
      </c>
      <c r="D306" s="9"/>
      <c r="E306" s="9" t="n">
        <v>11182.91</v>
      </c>
      <c r="F306" s="9" t="n">
        <f aca="false">F305+D306-E306</f>
        <v>55852638.88</v>
      </c>
    </row>
    <row r="307" customFormat="false" ht="15" hidden="false" customHeight="false" outlineLevel="0" collapsed="false">
      <c r="A307" s="3" t="s">
        <v>1566</v>
      </c>
      <c r="B307" s="8" t="n">
        <v>45874</v>
      </c>
      <c r="C307" s="3" t="s">
        <v>1321</v>
      </c>
      <c r="D307" s="9"/>
      <c r="E307" s="9" t="n">
        <v>2811700</v>
      </c>
      <c r="F307" s="9" t="n">
        <f aca="false">F306+D307-E307</f>
        <v>53040938.88</v>
      </c>
    </row>
    <row r="308" customFormat="false" ht="15" hidden="false" customHeight="false" outlineLevel="0" collapsed="false">
      <c r="A308" s="3" t="s">
        <v>1567</v>
      </c>
      <c r="B308" s="8" t="n">
        <v>45874</v>
      </c>
      <c r="C308" s="3" t="s">
        <v>1145</v>
      </c>
      <c r="D308" s="9"/>
      <c r="E308" s="9" t="n">
        <v>85000</v>
      </c>
      <c r="F308" s="9" t="n">
        <f aca="false">F307+D308-E308</f>
        <v>52955938.88</v>
      </c>
    </row>
    <row r="309" customFormat="false" ht="15" hidden="false" customHeight="false" outlineLevel="0" collapsed="false">
      <c r="A309" s="3" t="s">
        <v>1568</v>
      </c>
      <c r="B309" s="8" t="n">
        <v>45874</v>
      </c>
      <c r="C309" s="3" t="s">
        <v>1569</v>
      </c>
      <c r="D309" s="9"/>
      <c r="E309" s="9" t="n">
        <v>1380000</v>
      </c>
      <c r="F309" s="9" t="n">
        <f aca="false">F308+D309-E309</f>
        <v>51575938.88</v>
      </c>
    </row>
    <row r="310" customFormat="false" ht="15" hidden="false" customHeight="false" outlineLevel="0" collapsed="false">
      <c r="A310" s="3" t="s">
        <v>1570</v>
      </c>
      <c r="B310" s="8" t="n">
        <v>45874</v>
      </c>
      <c r="C310" s="3" t="s">
        <v>1571</v>
      </c>
      <c r="D310" s="9"/>
      <c r="E310" s="9" t="n">
        <v>1380000</v>
      </c>
      <c r="F310" s="9" t="n">
        <f aca="false">F309+D310-E310</f>
        <v>50195938.88</v>
      </c>
    </row>
    <row r="311" customFormat="false" ht="15" hidden="false" customHeight="false" outlineLevel="0" collapsed="false">
      <c r="A311" s="3" t="s">
        <v>1572</v>
      </c>
      <c r="B311" s="8" t="n">
        <v>45875</v>
      </c>
      <c r="C311" s="3" t="s">
        <v>1143</v>
      </c>
      <c r="D311" s="9" t="n">
        <v>1640970.55</v>
      </c>
      <c r="E311" s="9"/>
      <c r="F311" s="9" t="n">
        <f aca="false">F310+D311-E311</f>
        <v>51836909.43</v>
      </c>
    </row>
    <row r="312" customFormat="false" ht="15" hidden="false" customHeight="false" outlineLevel="0" collapsed="false">
      <c r="A312" s="3" t="s">
        <v>1573</v>
      </c>
      <c r="B312" s="8" t="n">
        <v>45875</v>
      </c>
      <c r="C312" s="3" t="s">
        <v>1157</v>
      </c>
      <c r="D312" s="9" t="n">
        <v>826628.04</v>
      </c>
      <c r="E312" s="9"/>
      <c r="F312" s="9" t="n">
        <f aca="false">F311+D312-E312</f>
        <v>52663537.47</v>
      </c>
    </row>
    <row r="313" customFormat="false" ht="15" hidden="false" customHeight="false" outlineLevel="0" collapsed="false">
      <c r="A313" s="3" t="s">
        <v>1574</v>
      </c>
      <c r="B313" s="8" t="n">
        <v>45876</v>
      </c>
      <c r="C313" s="3" t="s">
        <v>1575</v>
      </c>
      <c r="D313" s="9" t="n">
        <v>3915800</v>
      </c>
      <c r="E313" s="9"/>
      <c r="F313" s="9" t="n">
        <f aca="false">F312+D313-E313</f>
        <v>56579337.47</v>
      </c>
    </row>
    <row r="314" customFormat="false" ht="15" hidden="false" customHeight="false" outlineLevel="0" collapsed="false">
      <c r="A314" s="3" t="s">
        <v>1576</v>
      </c>
      <c r="B314" s="8" t="n">
        <v>45876</v>
      </c>
      <c r="C314" s="3" t="s">
        <v>1577</v>
      </c>
      <c r="D314" s="9"/>
      <c r="E314" s="9" t="n">
        <v>1800000</v>
      </c>
      <c r="F314" s="9" t="n">
        <f aca="false">F313+D314-E314</f>
        <v>54779337.47</v>
      </c>
    </row>
    <row r="315" customFormat="false" ht="15" hidden="false" customHeight="false" outlineLevel="0" collapsed="false">
      <c r="A315" s="3" t="s">
        <v>1578</v>
      </c>
      <c r="B315" s="8" t="n">
        <v>45876</v>
      </c>
      <c r="C315" s="3" t="s">
        <v>1153</v>
      </c>
      <c r="D315" s="9"/>
      <c r="E315" s="9" t="n">
        <v>273440.86</v>
      </c>
      <c r="F315" s="9" t="n">
        <f aca="false">F314+D315-E315</f>
        <v>54505896.61</v>
      </c>
    </row>
    <row r="316" customFormat="false" ht="15" hidden="false" customHeight="false" outlineLevel="0" collapsed="false">
      <c r="A316" s="3" t="s">
        <v>1579</v>
      </c>
      <c r="B316" s="8" t="n">
        <v>45877</v>
      </c>
      <c r="C316" s="3" t="s">
        <v>1580</v>
      </c>
      <c r="D316" s="9" t="n">
        <v>2433000</v>
      </c>
      <c r="E316" s="9"/>
      <c r="F316" s="9" t="n">
        <f aca="false">F315+D316-E316</f>
        <v>56938896.61</v>
      </c>
    </row>
    <row r="317" customFormat="false" ht="15" hidden="false" customHeight="false" outlineLevel="0" collapsed="false">
      <c r="A317" s="3" t="s">
        <v>1581</v>
      </c>
      <c r="B317" s="8" t="n">
        <v>45880</v>
      </c>
      <c r="C317" s="3" t="s">
        <v>1582</v>
      </c>
      <c r="D317" s="9" t="n">
        <v>3115600</v>
      </c>
      <c r="E317" s="9"/>
      <c r="F317" s="9" t="n">
        <f aca="false">F316+D317-E317</f>
        <v>60054496.61</v>
      </c>
    </row>
    <row r="318" customFormat="false" ht="15" hidden="false" customHeight="false" outlineLevel="0" collapsed="false">
      <c r="A318" s="3" t="s">
        <v>1583</v>
      </c>
      <c r="B318" s="8" t="n">
        <v>45880</v>
      </c>
      <c r="C318" s="3" t="s">
        <v>1584</v>
      </c>
      <c r="D318" s="9" t="n">
        <v>4884200</v>
      </c>
      <c r="E318" s="9"/>
      <c r="F318" s="9" t="n">
        <f aca="false">F317+D318-E318</f>
        <v>64938696.61</v>
      </c>
    </row>
    <row r="319" customFormat="false" ht="15" hidden="false" customHeight="false" outlineLevel="0" collapsed="false">
      <c r="A319" s="3" t="s">
        <v>1585</v>
      </c>
      <c r="B319" s="8" t="n">
        <v>45880</v>
      </c>
      <c r="C319" s="3" t="s">
        <v>1151</v>
      </c>
      <c r="D319" s="9" t="n">
        <v>784367.46</v>
      </c>
      <c r="E319" s="9"/>
      <c r="F319" s="9" t="n">
        <f aca="false">F318+D319-E319</f>
        <v>65723064.07</v>
      </c>
    </row>
    <row r="320" customFormat="false" ht="15" hidden="false" customHeight="false" outlineLevel="0" collapsed="false">
      <c r="A320" s="3" t="s">
        <v>1586</v>
      </c>
      <c r="B320" s="8" t="n">
        <v>45880</v>
      </c>
      <c r="C320" s="3" t="s">
        <v>1587</v>
      </c>
      <c r="D320" s="9"/>
      <c r="E320" s="9" t="n">
        <v>487060</v>
      </c>
      <c r="F320" s="9" t="n">
        <f aca="false">F319+D320-E320</f>
        <v>65236004.07</v>
      </c>
    </row>
    <row r="321" customFormat="false" ht="15" hidden="false" customHeight="false" outlineLevel="0" collapsed="false">
      <c r="A321" s="3" t="s">
        <v>1588</v>
      </c>
      <c r="B321" s="8" t="n">
        <v>45880</v>
      </c>
      <c r="C321" s="3" t="s">
        <v>1589</v>
      </c>
      <c r="D321" s="9"/>
      <c r="E321" s="9" t="n">
        <v>1057421.95</v>
      </c>
      <c r="F321" s="9" t="n">
        <f aca="false">F320+D321-E321</f>
        <v>64178582.12</v>
      </c>
    </row>
    <row r="322" customFormat="false" ht="15" hidden="false" customHeight="false" outlineLevel="0" collapsed="false">
      <c r="A322" s="3" t="s">
        <v>1590</v>
      </c>
      <c r="B322" s="8" t="n">
        <v>45881</v>
      </c>
      <c r="C322" s="3" t="s">
        <v>1591</v>
      </c>
      <c r="D322" s="9" t="n">
        <v>2257100</v>
      </c>
      <c r="E322" s="9"/>
      <c r="F322" s="9" t="n">
        <f aca="false">F321+D322-E322</f>
        <v>66435682.12</v>
      </c>
    </row>
    <row r="323" customFormat="false" ht="15" hidden="false" customHeight="false" outlineLevel="0" collapsed="false">
      <c r="A323" s="3" t="s">
        <v>1592</v>
      </c>
      <c r="B323" s="8" t="n">
        <v>45881</v>
      </c>
      <c r="C323" s="3" t="s">
        <v>1168</v>
      </c>
      <c r="D323" s="9"/>
      <c r="E323" s="9" t="n">
        <v>61927.5</v>
      </c>
      <c r="F323" s="9" t="n">
        <f aca="false">F322+D323-E323</f>
        <v>66373754.62</v>
      </c>
    </row>
    <row r="324" customFormat="false" ht="15" hidden="false" customHeight="false" outlineLevel="0" collapsed="false">
      <c r="A324" s="3" t="s">
        <v>1593</v>
      </c>
      <c r="B324" s="8" t="n">
        <v>45882</v>
      </c>
      <c r="C324" s="3" t="s">
        <v>1143</v>
      </c>
      <c r="D324" s="9" t="n">
        <v>2001168.47</v>
      </c>
      <c r="E324" s="9"/>
      <c r="F324" s="9" t="n">
        <f aca="false">F323+D324-E324</f>
        <v>68374923.09</v>
      </c>
    </row>
    <row r="325" customFormat="false" ht="15" hidden="false" customHeight="false" outlineLevel="0" collapsed="false">
      <c r="A325" s="3" t="s">
        <v>1594</v>
      </c>
      <c r="B325" s="8" t="n">
        <v>45883</v>
      </c>
      <c r="C325" s="3" t="s">
        <v>1176</v>
      </c>
      <c r="D325" s="9"/>
      <c r="E325" s="9" t="n">
        <v>197674.07</v>
      </c>
      <c r="F325" s="9" t="n">
        <f aca="false">F324+D325-E325</f>
        <v>68177249.02</v>
      </c>
    </row>
    <row r="326" customFormat="false" ht="15" hidden="false" customHeight="false" outlineLevel="0" collapsed="false">
      <c r="A326" s="3" t="s">
        <v>1595</v>
      </c>
      <c r="B326" s="8" t="n">
        <v>45883</v>
      </c>
      <c r="C326" s="3" t="s">
        <v>1596</v>
      </c>
      <c r="D326" s="9"/>
      <c r="E326" s="9" t="n">
        <v>3100000</v>
      </c>
      <c r="F326" s="9" t="n">
        <f aca="false">F325+D326-E326</f>
        <v>65077249.02</v>
      </c>
    </row>
    <row r="327" customFormat="false" ht="15" hidden="false" customHeight="false" outlineLevel="0" collapsed="false">
      <c r="A327" s="3" t="s">
        <v>1597</v>
      </c>
      <c r="B327" s="8" t="n">
        <v>45883</v>
      </c>
      <c r="C327" s="3" t="s">
        <v>1598</v>
      </c>
      <c r="D327" s="9"/>
      <c r="E327" s="9" t="n">
        <v>2300000</v>
      </c>
      <c r="F327" s="9" t="n">
        <f aca="false">F326+D327-E327</f>
        <v>62777249.02</v>
      </c>
    </row>
    <row r="328" customFormat="false" ht="15" hidden="false" customHeight="false" outlineLevel="0" collapsed="false">
      <c r="A328" s="3" t="s">
        <v>1599</v>
      </c>
      <c r="B328" s="8" t="n">
        <v>45883</v>
      </c>
      <c r="C328" s="3" t="s">
        <v>1179</v>
      </c>
      <c r="D328" s="9"/>
      <c r="E328" s="9" t="n">
        <v>351500</v>
      </c>
      <c r="F328" s="9" t="n">
        <f aca="false">F327+D328-E328</f>
        <v>62425749.02</v>
      </c>
    </row>
    <row r="329" customFormat="false" ht="15" hidden="false" customHeight="false" outlineLevel="0" collapsed="false">
      <c r="A329" s="3" t="s">
        <v>1600</v>
      </c>
      <c r="B329" s="8" t="n">
        <v>45884</v>
      </c>
      <c r="C329" s="3" t="s">
        <v>1157</v>
      </c>
      <c r="D329" s="9" t="n">
        <v>1195611.06</v>
      </c>
      <c r="E329" s="9"/>
      <c r="F329" s="9" t="n">
        <f aca="false">F328+D329-E329</f>
        <v>63621360.08</v>
      </c>
    </row>
    <row r="330" customFormat="false" ht="15" hidden="false" customHeight="false" outlineLevel="0" collapsed="false">
      <c r="A330" s="3" t="s">
        <v>1601</v>
      </c>
      <c r="B330" s="8" t="n">
        <v>45884</v>
      </c>
      <c r="C330" s="3" t="s">
        <v>1602</v>
      </c>
      <c r="D330" s="9"/>
      <c r="E330" s="9" t="n">
        <v>894600</v>
      </c>
      <c r="F330" s="9" t="n">
        <f aca="false">F329+D330-E330</f>
        <v>62726760.08</v>
      </c>
    </row>
    <row r="331" customFormat="false" ht="15" hidden="false" customHeight="false" outlineLevel="0" collapsed="false">
      <c r="A331" s="3" t="s">
        <v>1603</v>
      </c>
      <c r="B331" s="8" t="n">
        <v>45884</v>
      </c>
      <c r="C331" s="3" t="s">
        <v>1153</v>
      </c>
      <c r="D331" s="9"/>
      <c r="E331" s="9" t="n">
        <v>219314.57</v>
      </c>
      <c r="F331" s="9" t="n">
        <f aca="false">F330+D331-E331</f>
        <v>62507445.51</v>
      </c>
    </row>
    <row r="332" customFormat="false" ht="15" hidden="false" customHeight="false" outlineLevel="0" collapsed="false">
      <c r="A332" s="3" t="s">
        <v>1604</v>
      </c>
      <c r="B332" s="8" t="n">
        <v>45884</v>
      </c>
      <c r="C332" s="3" t="s">
        <v>1153</v>
      </c>
      <c r="D332" s="9"/>
      <c r="E332" s="9" t="n">
        <v>182869.39</v>
      </c>
      <c r="F332" s="9" t="n">
        <f aca="false">F331+D332-E332</f>
        <v>62324576.12</v>
      </c>
    </row>
    <row r="333" customFormat="false" ht="15" hidden="false" customHeight="false" outlineLevel="0" collapsed="false">
      <c r="A333" s="3" t="s">
        <v>1605</v>
      </c>
      <c r="B333" s="8" t="n">
        <v>45884</v>
      </c>
      <c r="C333" s="3" t="s">
        <v>1298</v>
      </c>
      <c r="D333" s="9"/>
      <c r="E333" s="9" t="n">
        <v>187300</v>
      </c>
      <c r="F333" s="9" t="n">
        <f aca="false">F332+D333-E333</f>
        <v>62137276.12</v>
      </c>
    </row>
    <row r="334" customFormat="false" ht="15" hidden="false" customHeight="false" outlineLevel="0" collapsed="false">
      <c r="A334" s="3" t="s">
        <v>1606</v>
      </c>
      <c r="B334" s="8" t="n">
        <v>45887</v>
      </c>
      <c r="C334" s="3" t="s">
        <v>1607</v>
      </c>
      <c r="D334" s="9" t="n">
        <v>3375700</v>
      </c>
      <c r="E334" s="9"/>
      <c r="F334" s="9" t="n">
        <f aca="false">F333+D334-E334</f>
        <v>65512976.12</v>
      </c>
    </row>
    <row r="335" customFormat="false" ht="15" hidden="false" customHeight="false" outlineLevel="0" collapsed="false">
      <c r="A335" s="3" t="s">
        <v>1608</v>
      </c>
      <c r="B335" s="8" t="n">
        <v>45887</v>
      </c>
      <c r="C335" s="3" t="s">
        <v>1172</v>
      </c>
      <c r="D335" s="9"/>
      <c r="E335" s="9" t="n">
        <v>2846100</v>
      </c>
      <c r="F335" s="9" t="n">
        <f aca="false">F334+D335-E335</f>
        <v>62666876.12</v>
      </c>
    </row>
    <row r="336" customFormat="false" ht="15" hidden="false" customHeight="false" outlineLevel="0" collapsed="false">
      <c r="A336" s="3" t="s">
        <v>1609</v>
      </c>
      <c r="B336" s="8" t="n">
        <v>45887</v>
      </c>
      <c r="C336" s="3" t="s">
        <v>1610</v>
      </c>
      <c r="D336" s="9" t="n">
        <v>2100000</v>
      </c>
      <c r="E336" s="9"/>
      <c r="F336" s="9" t="n">
        <f aca="false">F335+D336-E336</f>
        <v>64766876.12</v>
      </c>
    </row>
    <row r="337" customFormat="false" ht="15" hidden="false" customHeight="false" outlineLevel="0" collapsed="false">
      <c r="A337" s="3" t="s">
        <v>1611</v>
      </c>
      <c r="B337" s="8" t="n">
        <v>45888</v>
      </c>
      <c r="C337" s="3" t="s">
        <v>1612</v>
      </c>
      <c r="D337" s="9" t="n">
        <v>2011800</v>
      </c>
      <c r="E337" s="9"/>
      <c r="F337" s="9" t="n">
        <f aca="false">F336+D337-E337</f>
        <v>66778676.12</v>
      </c>
    </row>
    <row r="338" customFormat="false" ht="15" hidden="false" customHeight="false" outlineLevel="0" collapsed="false">
      <c r="A338" s="3" t="s">
        <v>1613</v>
      </c>
      <c r="B338" s="8" t="n">
        <v>45888</v>
      </c>
      <c r="C338" s="3" t="s">
        <v>1614</v>
      </c>
      <c r="D338" s="9"/>
      <c r="E338" s="9" t="n">
        <v>1984900</v>
      </c>
      <c r="F338" s="9" t="n">
        <f aca="false">F337+D338-E338</f>
        <v>64793776.12</v>
      </c>
    </row>
    <row r="339" customFormat="false" ht="15" hidden="false" customHeight="false" outlineLevel="0" collapsed="false">
      <c r="A339" s="3" t="s">
        <v>1615</v>
      </c>
      <c r="B339" s="8" t="n">
        <v>45889</v>
      </c>
      <c r="C339" s="3" t="s">
        <v>1143</v>
      </c>
      <c r="D339" s="9" t="n">
        <v>1181972.94</v>
      </c>
      <c r="E339" s="9"/>
      <c r="F339" s="9" t="n">
        <f aca="false">F338+D339-E339</f>
        <v>65975749.06</v>
      </c>
    </row>
    <row r="340" customFormat="false" ht="15" hidden="false" customHeight="false" outlineLevel="0" collapsed="false">
      <c r="A340" s="3" t="s">
        <v>1616</v>
      </c>
      <c r="B340" s="8" t="n">
        <v>45890</v>
      </c>
      <c r="C340" s="3" t="s">
        <v>1617</v>
      </c>
      <c r="D340" s="9"/>
      <c r="E340" s="9" t="n">
        <v>1520778.82</v>
      </c>
      <c r="F340" s="9" t="n">
        <f aca="false">F339+D340-E340</f>
        <v>64454970.24</v>
      </c>
    </row>
    <row r="341" customFormat="false" ht="15" hidden="false" customHeight="false" outlineLevel="0" collapsed="false">
      <c r="A341" s="3" t="s">
        <v>1618</v>
      </c>
      <c r="B341" s="8" t="n">
        <v>45890</v>
      </c>
      <c r="C341" s="3" t="s">
        <v>1153</v>
      </c>
      <c r="D341" s="9"/>
      <c r="E341" s="9" t="n">
        <v>185304.71</v>
      </c>
      <c r="F341" s="9" t="n">
        <f aca="false">F340+D341-E341</f>
        <v>64269665.53</v>
      </c>
    </row>
    <row r="342" customFormat="false" ht="15" hidden="false" customHeight="false" outlineLevel="0" collapsed="false">
      <c r="A342" s="3" t="s">
        <v>1619</v>
      </c>
      <c r="B342" s="8" t="n">
        <v>45890</v>
      </c>
      <c r="C342" s="3" t="s">
        <v>1176</v>
      </c>
      <c r="D342" s="9"/>
      <c r="E342" s="9" t="n">
        <v>236246.46</v>
      </c>
      <c r="F342" s="9" t="n">
        <f aca="false">F341+D342-E342</f>
        <v>64033419.07</v>
      </c>
    </row>
    <row r="343" customFormat="false" ht="15" hidden="false" customHeight="false" outlineLevel="0" collapsed="false">
      <c r="A343" s="3" t="s">
        <v>1620</v>
      </c>
      <c r="B343" s="8" t="n">
        <v>45890</v>
      </c>
      <c r="C343" s="3" t="s">
        <v>1189</v>
      </c>
      <c r="D343" s="9"/>
      <c r="E343" s="9" t="n">
        <v>575000</v>
      </c>
      <c r="F343" s="9" t="n">
        <f aca="false">F342+D343-E343</f>
        <v>63458419.07</v>
      </c>
    </row>
    <row r="344" customFormat="false" ht="15" hidden="false" customHeight="false" outlineLevel="0" collapsed="false">
      <c r="A344" s="3" t="s">
        <v>1621</v>
      </c>
      <c r="B344" s="8" t="n">
        <v>45890</v>
      </c>
      <c r="C344" s="3" t="s">
        <v>1191</v>
      </c>
      <c r="D344" s="9"/>
      <c r="E344" s="9" t="n">
        <v>207947.11</v>
      </c>
      <c r="F344" s="9" t="n">
        <f aca="false">F343+D344-E344</f>
        <v>63250471.96</v>
      </c>
    </row>
    <row r="345" customFormat="false" ht="15" hidden="false" customHeight="false" outlineLevel="0" collapsed="false">
      <c r="A345" s="3" t="s">
        <v>1622</v>
      </c>
      <c r="B345" s="8" t="n">
        <v>45891</v>
      </c>
      <c r="C345" s="3" t="s">
        <v>1157</v>
      </c>
      <c r="D345" s="9" t="n">
        <v>793147.03</v>
      </c>
      <c r="E345" s="9"/>
      <c r="F345" s="9" t="n">
        <f aca="false">F344+D345-E345</f>
        <v>64043618.99</v>
      </c>
    </row>
    <row r="346" customFormat="false" ht="15" hidden="false" customHeight="false" outlineLevel="0" collapsed="false">
      <c r="A346" s="3" t="s">
        <v>1623</v>
      </c>
      <c r="B346" s="8" t="n">
        <v>45894</v>
      </c>
      <c r="C346" s="3" t="s">
        <v>1151</v>
      </c>
      <c r="D346" s="9" t="n">
        <v>731033.99</v>
      </c>
      <c r="E346" s="9"/>
      <c r="F346" s="9" t="n">
        <f aca="false">F345+D346-E346</f>
        <v>64774652.98</v>
      </c>
    </row>
    <row r="347" customFormat="false" ht="15" hidden="false" customHeight="false" outlineLevel="0" collapsed="false">
      <c r="A347" s="3" t="s">
        <v>1624</v>
      </c>
      <c r="B347" s="8" t="n">
        <v>45894</v>
      </c>
      <c r="C347" s="3" t="s">
        <v>1179</v>
      </c>
      <c r="D347" s="9"/>
      <c r="E347" s="9" t="n">
        <v>312300</v>
      </c>
      <c r="F347" s="9" t="n">
        <f aca="false">F346+D347-E347</f>
        <v>64462352.98</v>
      </c>
    </row>
    <row r="348" customFormat="false" ht="15" hidden="false" customHeight="false" outlineLevel="0" collapsed="false">
      <c r="A348" s="3" t="s">
        <v>1625</v>
      </c>
      <c r="B348" s="8" t="n">
        <v>45894</v>
      </c>
      <c r="C348" s="3" t="s">
        <v>1626</v>
      </c>
      <c r="D348" s="9"/>
      <c r="E348" s="9" t="n">
        <v>1350000</v>
      </c>
      <c r="F348" s="9" t="n">
        <f aca="false">F347+D348-E348</f>
        <v>63112352.98</v>
      </c>
    </row>
    <row r="349" customFormat="false" ht="15" hidden="false" customHeight="false" outlineLevel="0" collapsed="false">
      <c r="A349" s="3" t="s">
        <v>1627</v>
      </c>
      <c r="B349" s="8" t="n">
        <v>45896</v>
      </c>
      <c r="C349" s="3" t="s">
        <v>1143</v>
      </c>
      <c r="D349" s="9" t="n">
        <v>1124304.87</v>
      </c>
      <c r="E349" s="9"/>
      <c r="F349" s="9" t="n">
        <f aca="false">F348+D349-E349</f>
        <v>64236657.85</v>
      </c>
    </row>
    <row r="350" customFormat="false" ht="15" hidden="false" customHeight="false" outlineLevel="0" collapsed="false">
      <c r="A350" s="3" t="s">
        <v>1628</v>
      </c>
      <c r="B350" s="8" t="n">
        <v>45896</v>
      </c>
      <c r="C350" s="3" t="s">
        <v>1629</v>
      </c>
      <c r="D350" s="9"/>
      <c r="E350" s="9" t="n">
        <v>4085300</v>
      </c>
      <c r="F350" s="9" t="n">
        <f aca="false">F349+D350-E350</f>
        <v>60151357.85</v>
      </c>
    </row>
    <row r="351" customFormat="false" ht="15" hidden="false" customHeight="false" outlineLevel="0" collapsed="false">
      <c r="A351" s="3" t="s">
        <v>1630</v>
      </c>
      <c r="B351" s="8" t="n">
        <v>45898</v>
      </c>
      <c r="C351" s="3" t="s">
        <v>1631</v>
      </c>
      <c r="D351" s="9"/>
      <c r="E351" s="9" t="n">
        <v>11106.62</v>
      </c>
      <c r="F351" s="9" t="n">
        <f aca="false">F350+D351-E351</f>
        <v>60140251.23</v>
      </c>
    </row>
    <row r="352" customFormat="false" ht="15" hidden="false" customHeight="false" outlineLevel="0" collapsed="false">
      <c r="A352" s="3" t="s">
        <v>1632</v>
      </c>
      <c r="B352" s="8" t="n">
        <v>45904</v>
      </c>
      <c r="C352" s="3" t="s">
        <v>1275</v>
      </c>
      <c r="D352" s="9" t="n">
        <v>3300000</v>
      </c>
      <c r="E352" s="9"/>
      <c r="F352" s="9" t="n">
        <f aca="false">F351+D352-E352</f>
        <v>63440251.23</v>
      </c>
    </row>
    <row r="353" customFormat="false" ht="15" hidden="false" customHeight="false" outlineLevel="0" collapsed="false">
      <c r="A353" s="3" t="s">
        <v>1633</v>
      </c>
      <c r="B353" s="8" t="n">
        <v>45904</v>
      </c>
      <c r="C353" s="3" t="s">
        <v>1176</v>
      </c>
      <c r="D353" s="9"/>
      <c r="E353" s="9" t="n">
        <v>255759.9</v>
      </c>
      <c r="F353" s="9" t="n">
        <f aca="false">F352+D353-E353</f>
        <v>63184491.33</v>
      </c>
    </row>
    <row r="354" customFormat="false" ht="15" hidden="false" customHeight="false" outlineLevel="0" collapsed="false">
      <c r="A354" s="3" t="s">
        <v>1634</v>
      </c>
      <c r="B354" s="8" t="n">
        <v>45904</v>
      </c>
      <c r="C354" s="3" t="s">
        <v>1174</v>
      </c>
      <c r="D354" s="9"/>
      <c r="E354" s="9" t="n">
        <v>1812800</v>
      </c>
      <c r="F354" s="9" t="n">
        <f aca="false">F353+D354-E354</f>
        <v>61371691.33</v>
      </c>
    </row>
    <row r="355" customFormat="false" ht="15" hidden="false" customHeight="false" outlineLevel="0" collapsed="false">
      <c r="A355" s="3" t="s">
        <v>1635</v>
      </c>
      <c r="B355" s="8" t="n">
        <v>45905</v>
      </c>
      <c r="C355" s="3" t="s">
        <v>1636</v>
      </c>
      <c r="D355" s="9" t="n">
        <v>3466700</v>
      </c>
      <c r="E355" s="9"/>
      <c r="F355" s="9" t="n">
        <f aca="false">F354+D355-E355</f>
        <v>64838391.33</v>
      </c>
    </row>
    <row r="356" customFormat="false" ht="15" hidden="false" customHeight="false" outlineLevel="0" collapsed="false">
      <c r="A356" s="3" t="s">
        <v>1637</v>
      </c>
      <c r="B356" s="8" t="n">
        <v>45905</v>
      </c>
      <c r="C356" s="3" t="s">
        <v>1145</v>
      </c>
      <c r="D356" s="9"/>
      <c r="E356" s="9" t="n">
        <v>85000</v>
      </c>
      <c r="F356" s="9" t="n">
        <f aca="false">F355+D356-E356</f>
        <v>64753391.33</v>
      </c>
    </row>
    <row r="357" customFormat="false" ht="15" hidden="false" customHeight="false" outlineLevel="0" collapsed="false">
      <c r="A357" s="3" t="s">
        <v>1638</v>
      </c>
      <c r="B357" s="8" t="n">
        <v>45905</v>
      </c>
      <c r="C357" s="3" t="s">
        <v>1157</v>
      </c>
      <c r="D357" s="9" t="n">
        <v>1489824.69</v>
      </c>
      <c r="E357" s="9"/>
      <c r="F357" s="9" t="n">
        <f aca="false">F356+D357-E357</f>
        <v>66243216.02</v>
      </c>
    </row>
    <row r="358" customFormat="false" ht="15" hidden="false" customHeight="false" outlineLevel="0" collapsed="false">
      <c r="A358" s="3" t="s">
        <v>1639</v>
      </c>
      <c r="B358" s="8" t="n">
        <v>45908</v>
      </c>
      <c r="C358" s="3" t="s">
        <v>1143</v>
      </c>
      <c r="D358" s="9" t="n">
        <v>1774049.93</v>
      </c>
      <c r="E358" s="9"/>
      <c r="F358" s="9" t="n">
        <f aca="false">F357+D358-E358</f>
        <v>68017265.95</v>
      </c>
    </row>
    <row r="359" customFormat="false" ht="15" hidden="false" customHeight="false" outlineLevel="0" collapsed="false">
      <c r="A359" s="3" t="s">
        <v>1640</v>
      </c>
      <c r="B359" s="8" t="n">
        <v>45908</v>
      </c>
      <c r="C359" s="3" t="s">
        <v>1174</v>
      </c>
      <c r="D359" s="9"/>
      <c r="E359" s="9" t="n">
        <v>2837000</v>
      </c>
      <c r="F359" s="9" t="n">
        <f aca="false">F358+D359-E359</f>
        <v>65180265.95</v>
      </c>
    </row>
    <row r="360" customFormat="false" ht="15" hidden="false" customHeight="false" outlineLevel="0" collapsed="false">
      <c r="A360" s="3" t="s">
        <v>1641</v>
      </c>
      <c r="B360" s="8" t="n">
        <v>45908</v>
      </c>
      <c r="C360" s="3" t="s">
        <v>1179</v>
      </c>
      <c r="D360" s="9"/>
      <c r="E360" s="9" t="n">
        <v>382600</v>
      </c>
      <c r="F360" s="9" t="n">
        <f aca="false">F359+D360-E360</f>
        <v>64797665.95</v>
      </c>
    </row>
    <row r="361" customFormat="false" ht="15" hidden="false" customHeight="false" outlineLevel="0" collapsed="false">
      <c r="A361" s="3" t="s">
        <v>1642</v>
      </c>
      <c r="B361" s="8" t="n">
        <v>45908</v>
      </c>
      <c r="C361" s="3" t="s">
        <v>1643</v>
      </c>
      <c r="D361" s="9"/>
      <c r="E361" s="9" t="n">
        <v>1057421.95</v>
      </c>
      <c r="F361" s="9" t="n">
        <f aca="false">F360+D361-E361</f>
        <v>63740244</v>
      </c>
    </row>
    <row r="362" customFormat="false" ht="15" hidden="false" customHeight="false" outlineLevel="0" collapsed="false">
      <c r="A362" s="3" t="s">
        <v>1644</v>
      </c>
      <c r="B362" s="8" t="n">
        <v>45909</v>
      </c>
      <c r="C362" s="3" t="s">
        <v>1151</v>
      </c>
      <c r="D362" s="9" t="n">
        <v>1097829.13</v>
      </c>
      <c r="E362" s="9"/>
      <c r="F362" s="9" t="n">
        <f aca="false">F361+D362-E362</f>
        <v>64838073.13</v>
      </c>
    </row>
    <row r="363" customFormat="false" ht="15" hidden="false" customHeight="false" outlineLevel="0" collapsed="false">
      <c r="A363" s="3" t="s">
        <v>1645</v>
      </c>
      <c r="B363" s="8" t="n">
        <v>45909</v>
      </c>
      <c r="C363" s="3" t="s">
        <v>1646</v>
      </c>
      <c r="D363" s="9" t="n">
        <v>3000000</v>
      </c>
      <c r="E363" s="9"/>
      <c r="F363" s="9" t="n">
        <f aca="false">F362+D363-E363</f>
        <v>67838073.13</v>
      </c>
    </row>
    <row r="364" customFormat="false" ht="15" hidden="false" customHeight="false" outlineLevel="0" collapsed="false">
      <c r="A364" s="3" t="s">
        <v>1647</v>
      </c>
      <c r="B364" s="8" t="n">
        <v>45909</v>
      </c>
      <c r="C364" s="3" t="s">
        <v>1648</v>
      </c>
      <c r="D364" s="9"/>
      <c r="E364" s="9" t="n">
        <v>2167600</v>
      </c>
      <c r="F364" s="9" t="n">
        <f aca="false">F363+D364-E364</f>
        <v>65670473.13</v>
      </c>
    </row>
    <row r="365" customFormat="false" ht="15" hidden="false" customHeight="false" outlineLevel="0" collapsed="false">
      <c r="A365" s="3" t="s">
        <v>1649</v>
      </c>
      <c r="B365" s="8" t="n">
        <v>45910</v>
      </c>
      <c r="C365" s="3" t="s">
        <v>1650</v>
      </c>
      <c r="D365" s="9"/>
      <c r="E365" s="9" t="n">
        <v>487060</v>
      </c>
      <c r="F365" s="9" t="n">
        <f aca="false">F364+D365-E365</f>
        <v>65183413.13</v>
      </c>
    </row>
    <row r="366" customFormat="false" ht="15" hidden="false" customHeight="false" outlineLevel="0" collapsed="false">
      <c r="A366" s="3" t="s">
        <v>1651</v>
      </c>
      <c r="B366" s="8" t="n">
        <v>45911</v>
      </c>
      <c r="C366" s="3" t="s">
        <v>1652</v>
      </c>
      <c r="D366" s="9" t="n">
        <v>2628700</v>
      </c>
      <c r="E366" s="9"/>
      <c r="F366" s="9" t="n">
        <f aca="false">F365+D366-E366</f>
        <v>67812113.13</v>
      </c>
    </row>
    <row r="367" customFormat="false" ht="15" hidden="false" customHeight="false" outlineLevel="0" collapsed="false">
      <c r="A367" s="3" t="s">
        <v>1653</v>
      </c>
      <c r="B367" s="8" t="n">
        <v>45911</v>
      </c>
      <c r="C367" s="3" t="s">
        <v>1157</v>
      </c>
      <c r="D367" s="9" t="n">
        <v>1384363.36</v>
      </c>
      <c r="E367" s="9"/>
      <c r="F367" s="9" t="n">
        <f aca="false">F366+D367-E367</f>
        <v>69196476.49</v>
      </c>
    </row>
    <row r="368" customFormat="false" ht="15" hidden="false" customHeight="false" outlineLevel="0" collapsed="false">
      <c r="A368" s="3" t="s">
        <v>1654</v>
      </c>
      <c r="B368" s="8" t="n">
        <v>45912</v>
      </c>
      <c r="C368" s="3" t="s">
        <v>1655</v>
      </c>
      <c r="D368" s="9" t="n">
        <v>1541400</v>
      </c>
      <c r="E368" s="9"/>
      <c r="F368" s="9" t="n">
        <f aca="false">F367+D368-E368</f>
        <v>70737876.49</v>
      </c>
    </row>
    <row r="369" customFormat="false" ht="15" hidden="false" customHeight="false" outlineLevel="0" collapsed="false">
      <c r="A369" s="3" t="s">
        <v>1656</v>
      </c>
      <c r="B369" s="8" t="n">
        <v>45912</v>
      </c>
      <c r="C369" s="3" t="s">
        <v>1657</v>
      </c>
      <c r="D369" s="9" t="n">
        <v>4181300</v>
      </c>
      <c r="E369" s="9"/>
      <c r="F369" s="9" t="n">
        <f aca="false">F368+D369-E369</f>
        <v>74919176.49</v>
      </c>
    </row>
    <row r="370" customFormat="false" ht="15" hidden="false" customHeight="false" outlineLevel="0" collapsed="false">
      <c r="A370" s="3" t="s">
        <v>1658</v>
      </c>
      <c r="B370" s="8" t="n">
        <v>45912</v>
      </c>
      <c r="C370" s="3" t="s">
        <v>1168</v>
      </c>
      <c r="D370" s="9"/>
      <c r="E370" s="9" t="n">
        <v>148012.55</v>
      </c>
      <c r="F370" s="9" t="n">
        <f aca="false">F369+D370-E370</f>
        <v>74771163.94</v>
      </c>
    </row>
    <row r="371" customFormat="false" ht="15" hidden="false" customHeight="false" outlineLevel="0" collapsed="false">
      <c r="A371" s="3" t="s">
        <v>1659</v>
      </c>
      <c r="B371" s="8" t="n">
        <v>45915</v>
      </c>
      <c r="C371" s="3" t="s">
        <v>1660</v>
      </c>
      <c r="D371" s="9" t="n">
        <v>3820500</v>
      </c>
      <c r="E371" s="9"/>
      <c r="F371" s="9" t="n">
        <f aca="false">F370+D371-E371</f>
        <v>78591663.94</v>
      </c>
    </row>
    <row r="372" customFormat="false" ht="15" hidden="false" customHeight="false" outlineLevel="0" collapsed="false">
      <c r="A372" s="3" t="s">
        <v>1661</v>
      </c>
      <c r="B372" s="8" t="n">
        <v>45915</v>
      </c>
      <c r="C372" s="3" t="s">
        <v>1662</v>
      </c>
      <c r="D372" s="9" t="n">
        <v>4722000</v>
      </c>
      <c r="E372" s="9"/>
      <c r="F372" s="9" t="n">
        <f aca="false">F371+D372-E372</f>
        <v>83313663.94</v>
      </c>
    </row>
    <row r="373" customFormat="false" ht="15" hidden="false" customHeight="false" outlineLevel="0" collapsed="false">
      <c r="A373" s="3" t="s">
        <v>1663</v>
      </c>
      <c r="B373" s="8" t="n">
        <v>45915</v>
      </c>
      <c r="C373" s="3" t="s">
        <v>1143</v>
      </c>
      <c r="D373" s="9" t="n">
        <v>1106420.53</v>
      </c>
      <c r="E373" s="9"/>
      <c r="F373" s="9" t="n">
        <f aca="false">F372+D373-E373</f>
        <v>84420084.47</v>
      </c>
    </row>
    <row r="374" customFormat="false" ht="15" hidden="false" customHeight="false" outlineLevel="0" collapsed="false">
      <c r="A374" s="3" t="s">
        <v>1664</v>
      </c>
      <c r="B374" s="8" t="n">
        <v>45915</v>
      </c>
      <c r="C374" s="3" t="s">
        <v>1665</v>
      </c>
      <c r="D374" s="9"/>
      <c r="E374" s="9" t="n">
        <v>894600</v>
      </c>
      <c r="F374" s="9" t="n">
        <f aca="false">F373+D374-E374</f>
        <v>83525484.47</v>
      </c>
    </row>
    <row r="375" customFormat="false" ht="15" hidden="false" customHeight="false" outlineLevel="0" collapsed="false">
      <c r="A375" s="3" t="s">
        <v>1666</v>
      </c>
      <c r="B375" s="8" t="n">
        <v>45915</v>
      </c>
      <c r="C375" s="3" t="s">
        <v>1153</v>
      </c>
      <c r="D375" s="9"/>
      <c r="E375" s="9" t="n">
        <v>239562.09</v>
      </c>
      <c r="F375" s="9" t="n">
        <f aca="false">F374+D375-E375</f>
        <v>83285922.38</v>
      </c>
    </row>
    <row r="376" customFormat="false" ht="15" hidden="false" customHeight="false" outlineLevel="0" collapsed="false">
      <c r="A376" s="3" t="s">
        <v>1667</v>
      </c>
      <c r="B376" s="8" t="n">
        <v>45915</v>
      </c>
      <c r="C376" s="3" t="s">
        <v>1668</v>
      </c>
      <c r="D376" s="9"/>
      <c r="E376" s="9" t="n">
        <v>1543200</v>
      </c>
      <c r="F376" s="9" t="n">
        <f aca="false">F375+D376-E376</f>
        <v>81742722.38</v>
      </c>
    </row>
    <row r="377" customFormat="false" ht="15" hidden="false" customHeight="false" outlineLevel="0" collapsed="false">
      <c r="A377" s="3" t="s">
        <v>1669</v>
      </c>
      <c r="B377" s="8" t="n">
        <v>45916</v>
      </c>
      <c r="C377" s="3" t="s">
        <v>1670</v>
      </c>
      <c r="D377" s="9" t="n">
        <v>3337000</v>
      </c>
      <c r="E377" s="9"/>
      <c r="F377" s="9" t="n">
        <f aca="false">F376+D377-E377</f>
        <v>85079722.38</v>
      </c>
    </row>
    <row r="378" customFormat="false" ht="15" hidden="false" customHeight="false" outlineLevel="0" collapsed="false">
      <c r="A378" s="3" t="s">
        <v>1671</v>
      </c>
      <c r="B378" s="8" t="n">
        <v>45916</v>
      </c>
      <c r="C378" s="3" t="s">
        <v>1321</v>
      </c>
      <c r="D378" s="9"/>
      <c r="E378" s="9" t="n">
        <v>1418200</v>
      </c>
      <c r="F378" s="9" t="n">
        <f aca="false">F377+D378-E378</f>
        <v>83661522.38</v>
      </c>
    </row>
    <row r="379" customFormat="false" ht="15" hidden="false" customHeight="false" outlineLevel="0" collapsed="false">
      <c r="A379" s="3" t="s">
        <v>1672</v>
      </c>
      <c r="B379" s="8" t="n">
        <v>45919</v>
      </c>
      <c r="C379" s="3" t="s">
        <v>1176</v>
      </c>
      <c r="D379" s="9"/>
      <c r="E379" s="9" t="n">
        <v>245835.59</v>
      </c>
      <c r="F379" s="9" t="n">
        <f aca="false">F378+D379-E379</f>
        <v>83415686.79</v>
      </c>
    </row>
    <row r="380" customFormat="false" ht="15" hidden="false" customHeight="false" outlineLevel="0" collapsed="false">
      <c r="A380" s="3" t="s">
        <v>1673</v>
      </c>
      <c r="B380" s="8" t="n">
        <v>45922</v>
      </c>
      <c r="C380" s="3" t="s">
        <v>1143</v>
      </c>
      <c r="D380" s="9" t="n">
        <v>1901241.69</v>
      </c>
      <c r="E380" s="9"/>
      <c r="F380" s="9" t="n">
        <f aca="false">F379+D380-E380</f>
        <v>85316928.48</v>
      </c>
    </row>
    <row r="381" customFormat="false" ht="15" hidden="false" customHeight="false" outlineLevel="0" collapsed="false">
      <c r="A381" s="3" t="s">
        <v>1674</v>
      </c>
      <c r="B381" s="8" t="n">
        <v>45922</v>
      </c>
      <c r="C381" s="3" t="s">
        <v>1675</v>
      </c>
      <c r="D381" s="9"/>
      <c r="E381" s="9" t="n">
        <v>1533903.26</v>
      </c>
      <c r="F381" s="9" t="n">
        <f aca="false">F380+D381-E381</f>
        <v>83783025.22</v>
      </c>
    </row>
    <row r="382" customFormat="false" ht="15" hidden="false" customHeight="false" outlineLevel="0" collapsed="false">
      <c r="A382" s="3" t="s">
        <v>1676</v>
      </c>
      <c r="B382" s="8" t="n">
        <v>45922</v>
      </c>
      <c r="C382" s="3" t="s">
        <v>1191</v>
      </c>
      <c r="D382" s="9"/>
      <c r="E382" s="9" t="n">
        <v>163072.68</v>
      </c>
      <c r="F382" s="9" t="n">
        <f aca="false">F381+D382-E382</f>
        <v>83619952.54</v>
      </c>
    </row>
    <row r="383" customFormat="false" ht="15" hidden="false" customHeight="false" outlineLevel="0" collapsed="false">
      <c r="A383" s="3" t="s">
        <v>1677</v>
      </c>
      <c r="B383" s="8" t="n">
        <v>45922</v>
      </c>
      <c r="C383" s="3" t="s">
        <v>1179</v>
      </c>
      <c r="D383" s="9"/>
      <c r="E383" s="9" t="n">
        <v>313800</v>
      </c>
      <c r="F383" s="9" t="n">
        <f aca="false">F382+D383-E383</f>
        <v>83306152.54</v>
      </c>
    </row>
    <row r="384" customFormat="false" ht="15" hidden="false" customHeight="false" outlineLevel="0" collapsed="false">
      <c r="A384" s="3" t="s">
        <v>1678</v>
      </c>
      <c r="B384" s="8" t="n">
        <v>45923</v>
      </c>
      <c r="C384" s="3" t="s">
        <v>1679</v>
      </c>
      <c r="D384" s="9" t="n">
        <v>4774500</v>
      </c>
      <c r="E384" s="9"/>
      <c r="F384" s="9" t="n">
        <f aca="false">F383+D384-E384</f>
        <v>88080652.54</v>
      </c>
    </row>
    <row r="385" customFormat="false" ht="15" hidden="false" customHeight="false" outlineLevel="0" collapsed="false">
      <c r="A385" s="3" t="s">
        <v>1680</v>
      </c>
      <c r="B385" s="8" t="n">
        <v>45923</v>
      </c>
      <c r="C385" s="3" t="s">
        <v>1151</v>
      </c>
      <c r="D385" s="9" t="n">
        <v>687398.17</v>
      </c>
      <c r="E385" s="9"/>
      <c r="F385" s="9" t="n">
        <f aca="false">F384+D385-E385</f>
        <v>88768050.71</v>
      </c>
    </row>
    <row r="386" customFormat="false" ht="15" hidden="false" customHeight="false" outlineLevel="0" collapsed="false">
      <c r="A386" s="3" t="s">
        <v>1681</v>
      </c>
      <c r="B386" s="8" t="n">
        <v>45923</v>
      </c>
      <c r="C386" s="3" t="s">
        <v>1189</v>
      </c>
      <c r="D386" s="9"/>
      <c r="E386" s="9" t="n">
        <v>418000</v>
      </c>
      <c r="F386" s="9" t="n">
        <f aca="false">F385+D386-E386</f>
        <v>88350050.71</v>
      </c>
    </row>
    <row r="387" customFormat="false" ht="15" hidden="false" customHeight="false" outlineLevel="0" collapsed="false">
      <c r="A387" s="3" t="s">
        <v>1682</v>
      </c>
      <c r="B387" s="8" t="n">
        <v>45924</v>
      </c>
      <c r="C387" s="3" t="s">
        <v>1153</v>
      </c>
      <c r="D387" s="9"/>
      <c r="E387" s="9" t="n">
        <v>225237.13</v>
      </c>
      <c r="F387" s="9" t="n">
        <f aca="false">F386+D387-E387</f>
        <v>88124813.58</v>
      </c>
    </row>
    <row r="388" customFormat="false" ht="15" hidden="false" customHeight="false" outlineLevel="0" collapsed="false">
      <c r="A388" s="3" t="s">
        <v>1683</v>
      </c>
      <c r="B388" s="8" t="n">
        <v>45924</v>
      </c>
      <c r="C388" s="3" t="s">
        <v>1153</v>
      </c>
      <c r="D388" s="9"/>
      <c r="E388" s="9" t="n">
        <v>164968.53</v>
      </c>
      <c r="F388" s="9" t="n">
        <f aca="false">F387+D388-E388</f>
        <v>87959845.05</v>
      </c>
    </row>
    <row r="389" customFormat="false" ht="15" hidden="false" customHeight="false" outlineLevel="0" collapsed="false">
      <c r="A389" s="3" t="s">
        <v>1684</v>
      </c>
      <c r="B389" s="8" t="n">
        <v>45929</v>
      </c>
      <c r="C389" s="3" t="s">
        <v>1143</v>
      </c>
      <c r="D389" s="9" t="n">
        <v>1065532.49</v>
      </c>
      <c r="E389" s="9"/>
      <c r="F389" s="9" t="n">
        <f aca="false">F388+D389-E389</f>
        <v>89025377.54</v>
      </c>
    </row>
    <row r="390" customFormat="false" ht="15" hidden="false" customHeight="false" outlineLevel="0" collapsed="false">
      <c r="A390" s="3" t="s">
        <v>1685</v>
      </c>
      <c r="B390" s="8" t="n">
        <v>45929</v>
      </c>
      <c r="C390" s="3" t="s">
        <v>1686</v>
      </c>
      <c r="D390" s="9"/>
      <c r="E390" s="9" t="n">
        <v>4085300</v>
      </c>
      <c r="F390" s="9" t="n">
        <f aca="false">F389+D390-E390</f>
        <v>84940077.54</v>
      </c>
    </row>
    <row r="391" customFormat="false" ht="15" hidden="false" customHeight="false" outlineLevel="0" collapsed="false">
      <c r="A391" s="3" t="s">
        <v>1687</v>
      </c>
      <c r="B391" s="8" t="n">
        <v>45929</v>
      </c>
      <c r="C391" s="3" t="s">
        <v>1688</v>
      </c>
      <c r="D391" s="9"/>
      <c r="E391" s="9" t="n">
        <v>2484200</v>
      </c>
      <c r="F391" s="9" t="n">
        <f aca="false">F390+D391-E391</f>
        <v>82455877.54</v>
      </c>
    </row>
    <row r="392" customFormat="false" ht="15" hidden="false" customHeight="false" outlineLevel="0" collapsed="false">
      <c r="A392" s="3" t="s">
        <v>1689</v>
      </c>
      <c r="B392" s="8" t="n">
        <v>45930</v>
      </c>
      <c r="C392" s="3" t="s">
        <v>1690</v>
      </c>
      <c r="D392" s="9"/>
      <c r="E392" s="9" t="n">
        <v>10512.95</v>
      </c>
      <c r="F392" s="9" t="n">
        <f aca="false">F391+D392-E392</f>
        <v>82445364.5899999</v>
      </c>
    </row>
    <row r="393" customFormat="false" ht="15" hidden="false" customHeight="false" outlineLevel="0" collapsed="false">
      <c r="A393" s="3" t="s">
        <v>1691</v>
      </c>
      <c r="B393" s="8" t="n">
        <v>45932</v>
      </c>
      <c r="C393" s="3" t="s">
        <v>1692</v>
      </c>
      <c r="D393" s="9" t="n">
        <v>4123200</v>
      </c>
      <c r="E393" s="9"/>
      <c r="F393" s="9" t="n">
        <f aca="false">F392+D393-E393</f>
        <v>86568564.5899999</v>
      </c>
    </row>
    <row r="394" customFormat="false" ht="15" hidden="false" customHeight="false" outlineLevel="0" collapsed="false">
      <c r="A394" s="3" t="s">
        <v>1693</v>
      </c>
      <c r="B394" s="8" t="n">
        <v>45933</v>
      </c>
      <c r="C394" s="3" t="s">
        <v>1179</v>
      </c>
      <c r="D394" s="9"/>
      <c r="E394" s="9" t="n">
        <v>272100</v>
      </c>
      <c r="F394" s="9" t="n">
        <f aca="false">F393+D394-E394</f>
        <v>86296464.5899999</v>
      </c>
    </row>
    <row r="395" customFormat="false" ht="15" hidden="false" customHeight="false" outlineLevel="0" collapsed="false">
      <c r="A395" s="3" t="s">
        <v>1694</v>
      </c>
      <c r="B395" s="8" t="n">
        <v>45933</v>
      </c>
      <c r="C395" s="3" t="s">
        <v>1695</v>
      </c>
      <c r="D395" s="9"/>
      <c r="E395" s="9" t="n">
        <v>1500000</v>
      </c>
      <c r="F395" s="9" t="n">
        <f aca="false">F394+D395-E395</f>
        <v>84796464.5899999</v>
      </c>
    </row>
    <row r="396" customFormat="false" ht="15" hidden="false" customHeight="false" outlineLevel="0" collapsed="false">
      <c r="A396" s="3" t="s">
        <v>1696</v>
      </c>
      <c r="B396" s="8" t="n">
        <v>45936</v>
      </c>
      <c r="C396" s="3" t="s">
        <v>1697</v>
      </c>
      <c r="D396" s="9" t="n">
        <v>5167300</v>
      </c>
      <c r="E396" s="9"/>
      <c r="F396" s="9" t="n">
        <f aca="false">F395+D396-E396</f>
        <v>89963764.5899999</v>
      </c>
    </row>
    <row r="397" customFormat="false" ht="15" hidden="false" customHeight="false" outlineLevel="0" collapsed="false">
      <c r="A397" s="3" t="s">
        <v>1698</v>
      </c>
      <c r="B397" s="8" t="n">
        <v>45936</v>
      </c>
      <c r="C397" s="3" t="s">
        <v>1143</v>
      </c>
      <c r="D397" s="9" t="n">
        <v>2235450</v>
      </c>
      <c r="E397" s="9"/>
      <c r="F397" s="9" t="n">
        <f aca="false">F396+D397-E397</f>
        <v>92199214.5899999</v>
      </c>
    </row>
    <row r="398" customFormat="false" ht="15" hidden="false" customHeight="false" outlineLevel="0" collapsed="false">
      <c r="A398" s="3" t="s">
        <v>1699</v>
      </c>
      <c r="B398" s="8" t="n">
        <v>45936</v>
      </c>
      <c r="C398" s="3" t="s">
        <v>1157</v>
      </c>
      <c r="D398" s="9" t="n">
        <v>1775217.31</v>
      </c>
      <c r="E398" s="9"/>
      <c r="F398" s="9" t="n">
        <f aca="false">F397+D398-E398</f>
        <v>93974431.9</v>
      </c>
    </row>
    <row r="399" customFormat="false" ht="15" hidden="false" customHeight="false" outlineLevel="0" collapsed="false">
      <c r="A399" s="3" t="s">
        <v>1700</v>
      </c>
      <c r="B399" s="8" t="n">
        <v>45936</v>
      </c>
      <c r="C399" s="3" t="s">
        <v>1235</v>
      </c>
      <c r="D399" s="9"/>
      <c r="E399" s="9" t="n">
        <v>3091900</v>
      </c>
      <c r="F399" s="9" t="n">
        <f aca="false">F398+D399-E399</f>
        <v>90882531.9</v>
      </c>
    </row>
    <row r="400" customFormat="false" ht="15" hidden="false" customHeight="false" outlineLevel="0" collapsed="false">
      <c r="A400" s="3" t="s">
        <v>1701</v>
      </c>
      <c r="B400" s="8" t="n">
        <v>45936</v>
      </c>
      <c r="C400" s="3" t="s">
        <v>1145</v>
      </c>
      <c r="D400" s="9"/>
      <c r="E400" s="9" t="n">
        <v>85000</v>
      </c>
      <c r="F400" s="9" t="n">
        <f aca="false">F399+D400-E400</f>
        <v>90797531.9</v>
      </c>
    </row>
    <row r="401" customFormat="false" ht="15" hidden="false" customHeight="false" outlineLevel="0" collapsed="false">
      <c r="A401" s="3" t="s">
        <v>1702</v>
      </c>
      <c r="B401" s="8" t="n">
        <v>45937</v>
      </c>
      <c r="C401" s="3" t="s">
        <v>1703</v>
      </c>
      <c r="D401" s="9"/>
      <c r="E401" s="9" t="n">
        <v>2761500</v>
      </c>
      <c r="F401" s="9" t="n">
        <f aca="false">F400+D401-E401</f>
        <v>88036031.9</v>
      </c>
    </row>
    <row r="402" customFormat="false" ht="15" hidden="false" customHeight="false" outlineLevel="0" collapsed="false">
      <c r="A402" s="3" t="s">
        <v>1704</v>
      </c>
      <c r="B402" s="8" t="n">
        <v>45937</v>
      </c>
      <c r="C402" s="3" t="s">
        <v>1189</v>
      </c>
      <c r="D402" s="9"/>
      <c r="E402" s="9" t="n">
        <v>681000</v>
      </c>
      <c r="F402" s="9" t="n">
        <f aca="false">F401+D402-E402</f>
        <v>87355031.9</v>
      </c>
    </row>
    <row r="403" customFormat="false" ht="15" hidden="false" customHeight="false" outlineLevel="0" collapsed="false">
      <c r="A403" s="3" t="s">
        <v>1705</v>
      </c>
      <c r="B403" s="8" t="n">
        <v>45938</v>
      </c>
      <c r="C403" s="3" t="s">
        <v>1153</v>
      </c>
      <c r="D403" s="9"/>
      <c r="E403" s="9" t="n">
        <v>232191.94</v>
      </c>
      <c r="F403" s="9" t="n">
        <f aca="false">F402+D403-E403</f>
        <v>87122839.96</v>
      </c>
    </row>
    <row r="404" customFormat="false" ht="15" hidden="false" customHeight="false" outlineLevel="0" collapsed="false">
      <c r="A404" s="3" t="s">
        <v>1706</v>
      </c>
      <c r="B404" s="8" t="n">
        <v>45938</v>
      </c>
      <c r="C404" s="3" t="s">
        <v>1707</v>
      </c>
      <c r="D404" s="9"/>
      <c r="E404" s="9" t="n">
        <v>1151500</v>
      </c>
      <c r="F404" s="9" t="n">
        <f aca="false">F403+D404-E404</f>
        <v>85971339.96</v>
      </c>
    </row>
    <row r="405" customFormat="false" ht="15" hidden="false" customHeight="false" outlineLevel="0" collapsed="false">
      <c r="A405" s="3" t="s">
        <v>1708</v>
      </c>
      <c r="B405" s="8" t="n">
        <v>45939</v>
      </c>
      <c r="C405" s="3" t="s">
        <v>1196</v>
      </c>
      <c r="D405" s="9" t="n">
        <v>2845600</v>
      </c>
      <c r="E405" s="9"/>
      <c r="F405" s="9" t="n">
        <f aca="false">F404+D405-E405</f>
        <v>88816939.96</v>
      </c>
    </row>
    <row r="406" customFormat="false" ht="15" hidden="false" customHeight="false" outlineLevel="0" collapsed="false">
      <c r="A406" s="3" t="s">
        <v>1709</v>
      </c>
      <c r="B406" s="8" t="n">
        <v>45939</v>
      </c>
      <c r="C406" s="3" t="s">
        <v>1151</v>
      </c>
      <c r="D406" s="9" t="n">
        <v>918862.01</v>
      </c>
      <c r="E406" s="9"/>
      <c r="F406" s="9" t="n">
        <f aca="false">F405+D406-E406</f>
        <v>89735801.97</v>
      </c>
    </row>
    <row r="407" customFormat="false" ht="15" hidden="false" customHeight="false" outlineLevel="0" collapsed="false">
      <c r="A407" s="3" t="s">
        <v>1710</v>
      </c>
      <c r="B407" s="8" t="n">
        <v>45940</v>
      </c>
      <c r="C407" s="3" t="s">
        <v>1711</v>
      </c>
      <c r="D407" s="9"/>
      <c r="E407" s="9" t="n">
        <v>487060</v>
      </c>
      <c r="F407" s="9" t="n">
        <f aca="false">F406+D407-E407</f>
        <v>89248741.97</v>
      </c>
    </row>
    <row r="408" customFormat="false" ht="15" hidden="false" customHeight="false" outlineLevel="0" collapsed="false">
      <c r="A408" s="3" t="s">
        <v>1712</v>
      </c>
      <c r="B408" s="8" t="n">
        <v>45943</v>
      </c>
      <c r="C408" s="3" t="s">
        <v>1713</v>
      </c>
      <c r="D408" s="9" t="n">
        <v>1330200</v>
      </c>
      <c r="E408" s="9"/>
      <c r="F408" s="9" t="n">
        <f aca="false">F407+D408-E408</f>
        <v>90578941.97</v>
      </c>
    </row>
    <row r="409" customFormat="false" ht="15" hidden="false" customHeight="false" outlineLevel="0" collapsed="false">
      <c r="A409" s="3" t="s">
        <v>1714</v>
      </c>
      <c r="B409" s="8" t="n">
        <v>45943</v>
      </c>
      <c r="C409" s="3" t="s">
        <v>1143</v>
      </c>
      <c r="D409" s="9" t="n">
        <v>1425652.05</v>
      </c>
      <c r="E409" s="9"/>
      <c r="F409" s="9" t="n">
        <f aca="false">F408+D409-E409</f>
        <v>92004594.02</v>
      </c>
    </row>
    <row r="410" customFormat="false" ht="15" hidden="false" customHeight="false" outlineLevel="0" collapsed="false">
      <c r="A410" s="3" t="s">
        <v>1715</v>
      </c>
      <c r="B410" s="8" t="n">
        <v>45943</v>
      </c>
      <c r="C410" s="3" t="s">
        <v>1157</v>
      </c>
      <c r="D410" s="9" t="n">
        <v>845454.11</v>
      </c>
      <c r="E410" s="9"/>
      <c r="F410" s="9" t="n">
        <f aca="false">F409+D410-E410</f>
        <v>92850048.13</v>
      </c>
    </row>
    <row r="411" customFormat="false" ht="15" hidden="false" customHeight="false" outlineLevel="0" collapsed="false">
      <c r="A411" s="3" t="s">
        <v>1716</v>
      </c>
      <c r="B411" s="8" t="n">
        <v>45943</v>
      </c>
      <c r="C411" s="3" t="s">
        <v>1168</v>
      </c>
      <c r="D411" s="9"/>
      <c r="E411" s="9" t="n">
        <v>111884.35</v>
      </c>
      <c r="F411" s="9" t="n">
        <f aca="false">F410+D411-E411</f>
        <v>92738163.78</v>
      </c>
    </row>
    <row r="412" customFormat="false" ht="15" hidden="false" customHeight="false" outlineLevel="0" collapsed="false">
      <c r="A412" s="3" t="s">
        <v>1717</v>
      </c>
      <c r="B412" s="8" t="n">
        <v>45944</v>
      </c>
      <c r="C412" s="3" t="s">
        <v>1179</v>
      </c>
      <c r="D412" s="9"/>
      <c r="E412" s="9" t="n">
        <v>182400</v>
      </c>
      <c r="F412" s="9" t="n">
        <f aca="false">F411+D412-E412</f>
        <v>92555763.78</v>
      </c>
    </row>
    <row r="413" customFormat="false" ht="15" hidden="false" customHeight="false" outlineLevel="0" collapsed="false">
      <c r="A413" s="3" t="s">
        <v>1718</v>
      </c>
      <c r="B413" s="8" t="n">
        <v>45944</v>
      </c>
      <c r="C413" s="3" t="s">
        <v>1189</v>
      </c>
      <c r="D413" s="9"/>
      <c r="E413" s="9" t="n">
        <v>240000</v>
      </c>
      <c r="F413" s="9" t="n">
        <f aca="false">F412+D413-E413</f>
        <v>92315763.78</v>
      </c>
    </row>
    <row r="414" customFormat="false" ht="15" hidden="false" customHeight="false" outlineLevel="0" collapsed="false">
      <c r="A414" s="3" t="s">
        <v>1719</v>
      </c>
      <c r="B414" s="8" t="n">
        <v>45944</v>
      </c>
      <c r="C414" s="3" t="s">
        <v>1196</v>
      </c>
      <c r="D414" s="9" t="n">
        <v>1511600</v>
      </c>
      <c r="E414" s="9"/>
      <c r="F414" s="9" t="n">
        <f aca="false">F413+D414-E414</f>
        <v>93827363.78</v>
      </c>
    </row>
    <row r="415" customFormat="false" ht="15" hidden="false" customHeight="false" outlineLevel="0" collapsed="false">
      <c r="A415" s="3" t="s">
        <v>1720</v>
      </c>
      <c r="B415" s="8" t="n">
        <v>45944</v>
      </c>
      <c r="C415" s="3" t="s">
        <v>1176</v>
      </c>
      <c r="D415" s="9"/>
      <c r="E415" s="9" t="n">
        <v>259408.44</v>
      </c>
      <c r="F415" s="9" t="n">
        <f aca="false">F414+D415-E415</f>
        <v>93567955.34</v>
      </c>
    </row>
    <row r="416" customFormat="false" ht="15" hidden="false" customHeight="false" outlineLevel="0" collapsed="false">
      <c r="A416" s="3" t="s">
        <v>1721</v>
      </c>
      <c r="B416" s="8" t="n">
        <v>45945</v>
      </c>
      <c r="C416" s="3" t="s">
        <v>1722</v>
      </c>
      <c r="D416" s="9"/>
      <c r="E416" s="9" t="n">
        <v>894600</v>
      </c>
      <c r="F416" s="9" t="n">
        <f aca="false">F415+D416-E416</f>
        <v>92673355.34</v>
      </c>
    </row>
    <row r="417" customFormat="false" ht="15" hidden="false" customHeight="false" outlineLevel="0" collapsed="false">
      <c r="A417" s="3" t="s">
        <v>1723</v>
      </c>
      <c r="B417" s="8" t="n">
        <v>45945</v>
      </c>
      <c r="C417" s="3" t="s">
        <v>1724</v>
      </c>
      <c r="D417" s="9" t="n">
        <v>5000000</v>
      </c>
      <c r="E417" s="9"/>
      <c r="F417" s="9" t="n">
        <f aca="false">F416+D417-E417</f>
        <v>97673355.34</v>
      </c>
    </row>
    <row r="418" customFormat="false" ht="15" hidden="false" customHeight="false" outlineLevel="0" collapsed="false">
      <c r="A418" s="3" t="s">
        <v>1725</v>
      </c>
      <c r="B418" s="8" t="n">
        <v>45945</v>
      </c>
      <c r="C418" s="3" t="s">
        <v>1298</v>
      </c>
      <c r="D418" s="9"/>
      <c r="E418" s="9" t="n">
        <v>596400</v>
      </c>
      <c r="F418" s="9" t="n">
        <f aca="false">F417+D418-E418</f>
        <v>97076955.34</v>
      </c>
    </row>
    <row r="419" customFormat="false" ht="15" hidden="false" customHeight="false" outlineLevel="0" collapsed="false">
      <c r="A419" s="3" t="s">
        <v>1726</v>
      </c>
      <c r="B419" s="8" t="n">
        <v>45946</v>
      </c>
      <c r="C419" s="3" t="s">
        <v>1174</v>
      </c>
      <c r="D419" s="9"/>
      <c r="E419" s="9" t="n">
        <v>1968500</v>
      </c>
      <c r="F419" s="9" t="n">
        <f aca="false">F418+D419-E419</f>
        <v>95108455.34</v>
      </c>
    </row>
    <row r="420" customFormat="false" ht="15" hidden="false" customHeight="false" outlineLevel="0" collapsed="false">
      <c r="A420" s="3" t="s">
        <v>1727</v>
      </c>
      <c r="B420" s="8" t="n">
        <v>45946</v>
      </c>
      <c r="C420" s="3" t="s">
        <v>1230</v>
      </c>
      <c r="D420" s="9"/>
      <c r="E420" s="9" t="n">
        <v>1586000</v>
      </c>
      <c r="F420" s="9" t="n">
        <f aca="false">F419+D420-E420</f>
        <v>93522455.34</v>
      </c>
    </row>
    <row r="421" customFormat="false" ht="15" hidden="false" customHeight="false" outlineLevel="0" collapsed="false">
      <c r="A421" s="3" t="s">
        <v>1728</v>
      </c>
      <c r="B421" s="8" t="n">
        <v>45946</v>
      </c>
      <c r="C421" s="3" t="s">
        <v>1729</v>
      </c>
      <c r="D421" s="9"/>
      <c r="E421" s="9" t="n">
        <v>1686057.99</v>
      </c>
      <c r="F421" s="9" t="n">
        <f aca="false">F420+D421-E421</f>
        <v>91836397.35</v>
      </c>
    </row>
    <row r="422" customFormat="false" ht="15" hidden="false" customHeight="false" outlineLevel="0" collapsed="false">
      <c r="A422" s="3" t="s">
        <v>1730</v>
      </c>
      <c r="B422" s="8" t="n">
        <v>45947</v>
      </c>
      <c r="C422" s="3" t="s">
        <v>1731</v>
      </c>
      <c r="D422" s="9" t="n">
        <v>1327400</v>
      </c>
      <c r="E422" s="9"/>
      <c r="F422" s="9" t="n">
        <f aca="false">F421+D422-E422</f>
        <v>93163797.35</v>
      </c>
    </row>
    <row r="423" customFormat="false" ht="15" hidden="false" customHeight="false" outlineLevel="0" collapsed="false">
      <c r="A423" s="3" t="s">
        <v>1732</v>
      </c>
      <c r="B423" s="8" t="n">
        <v>45947</v>
      </c>
      <c r="C423" s="3" t="s">
        <v>1153</v>
      </c>
      <c r="D423" s="9"/>
      <c r="E423" s="9" t="n">
        <v>195523.21</v>
      </c>
      <c r="F423" s="9" t="n">
        <f aca="false">F422+D423-E423</f>
        <v>92968274.14</v>
      </c>
    </row>
    <row r="424" customFormat="false" ht="15" hidden="false" customHeight="false" outlineLevel="0" collapsed="false">
      <c r="A424" s="3" t="s">
        <v>1733</v>
      </c>
      <c r="B424" s="8" t="n">
        <v>45950</v>
      </c>
      <c r="C424" s="3" t="s">
        <v>1196</v>
      </c>
      <c r="D424" s="9" t="n">
        <v>2840100</v>
      </c>
      <c r="E424" s="9"/>
      <c r="F424" s="9" t="n">
        <f aca="false">F423+D424-E424</f>
        <v>95808374.14</v>
      </c>
    </row>
    <row r="425" customFormat="false" ht="15" hidden="false" customHeight="false" outlineLevel="0" collapsed="false">
      <c r="A425" s="3" t="s">
        <v>1734</v>
      </c>
      <c r="B425" s="8" t="n">
        <v>45950</v>
      </c>
      <c r="C425" s="3" t="s">
        <v>1143</v>
      </c>
      <c r="D425" s="9" t="n">
        <v>2190674.7</v>
      </c>
      <c r="E425" s="9"/>
      <c r="F425" s="9" t="n">
        <f aca="false">F424+D425-E425</f>
        <v>97999048.84</v>
      </c>
    </row>
    <row r="426" customFormat="false" ht="15" hidden="false" customHeight="false" outlineLevel="0" collapsed="false">
      <c r="A426" s="3" t="s">
        <v>1735</v>
      </c>
      <c r="B426" s="8" t="n">
        <v>45950</v>
      </c>
      <c r="C426" s="3" t="s">
        <v>1182</v>
      </c>
      <c r="D426" s="9"/>
      <c r="E426" s="9" t="n">
        <v>2339500</v>
      </c>
      <c r="F426" s="9" t="n">
        <f aca="false">F425+D426-E426</f>
        <v>95659548.84</v>
      </c>
    </row>
    <row r="427" customFormat="false" ht="15" hidden="false" customHeight="false" outlineLevel="0" collapsed="false">
      <c r="A427" s="3" t="s">
        <v>1736</v>
      </c>
      <c r="B427" s="8" t="n">
        <v>45950</v>
      </c>
      <c r="C427" s="3" t="s">
        <v>1737</v>
      </c>
      <c r="D427" s="9"/>
      <c r="E427" s="9" t="n">
        <v>640000</v>
      </c>
      <c r="F427" s="9" t="n">
        <f aca="false">F426+D427-E427</f>
        <v>95019548.84</v>
      </c>
    </row>
    <row r="428" customFormat="false" ht="15" hidden="false" customHeight="false" outlineLevel="0" collapsed="false">
      <c r="A428" s="3" t="s">
        <v>1738</v>
      </c>
      <c r="B428" s="8" t="n">
        <v>45950</v>
      </c>
      <c r="C428" s="3" t="s">
        <v>1153</v>
      </c>
      <c r="D428" s="9"/>
      <c r="E428" s="9" t="n">
        <v>132040.56</v>
      </c>
      <c r="F428" s="9" t="n">
        <f aca="false">F427+D428-E428</f>
        <v>94887508.28</v>
      </c>
    </row>
    <row r="429" customFormat="false" ht="15" hidden="false" customHeight="false" outlineLevel="0" collapsed="false">
      <c r="A429" s="3" t="s">
        <v>1739</v>
      </c>
      <c r="B429" s="8" t="n">
        <v>45951</v>
      </c>
      <c r="C429" s="3" t="s">
        <v>1151</v>
      </c>
      <c r="D429" s="9" t="n">
        <v>777437.56</v>
      </c>
      <c r="E429" s="9"/>
      <c r="F429" s="9" t="n">
        <f aca="false">F428+D429-E429</f>
        <v>95664945.84</v>
      </c>
    </row>
    <row r="430" customFormat="false" ht="15" hidden="false" customHeight="false" outlineLevel="0" collapsed="false">
      <c r="A430" s="3" t="s">
        <v>1740</v>
      </c>
      <c r="B430" s="8" t="n">
        <v>45952</v>
      </c>
      <c r="C430" s="3" t="s">
        <v>1157</v>
      </c>
      <c r="D430" s="9" t="n">
        <v>1693722.78</v>
      </c>
      <c r="E430" s="9"/>
      <c r="F430" s="9" t="n">
        <f aca="false">F429+D430-E430</f>
        <v>97358668.62</v>
      </c>
    </row>
    <row r="431" customFormat="false" ht="15" hidden="false" customHeight="false" outlineLevel="0" collapsed="false">
      <c r="A431" s="3" t="s">
        <v>1741</v>
      </c>
      <c r="B431" s="8" t="n">
        <v>45952</v>
      </c>
      <c r="C431" s="3" t="s">
        <v>1191</v>
      </c>
      <c r="D431" s="9"/>
      <c r="E431" s="9" t="n">
        <v>139377.96</v>
      </c>
      <c r="F431" s="9" t="n">
        <f aca="false">F430+D431-E431</f>
        <v>97219290.66</v>
      </c>
    </row>
    <row r="432" customFormat="false" ht="15" hidden="false" customHeight="false" outlineLevel="0" collapsed="false">
      <c r="A432" s="3" t="s">
        <v>1742</v>
      </c>
      <c r="B432" s="8" t="n">
        <v>45952</v>
      </c>
      <c r="C432" s="3" t="s">
        <v>1743</v>
      </c>
      <c r="D432" s="9"/>
      <c r="E432" s="9" t="n">
        <v>450000</v>
      </c>
      <c r="F432" s="9" t="n">
        <f aca="false">F431+D432-E432</f>
        <v>96769290.66</v>
      </c>
    </row>
    <row r="433" customFormat="false" ht="15" hidden="false" customHeight="false" outlineLevel="0" collapsed="false">
      <c r="A433" s="3" t="s">
        <v>1744</v>
      </c>
      <c r="B433" s="8" t="n">
        <v>45954</v>
      </c>
      <c r="C433" s="3" t="s">
        <v>1176</v>
      </c>
      <c r="D433" s="9"/>
      <c r="E433" s="9" t="n">
        <v>305276.14</v>
      </c>
      <c r="F433" s="9" t="n">
        <f aca="false">F432+D433-E433</f>
        <v>96464014.52</v>
      </c>
    </row>
    <row r="434" customFormat="false" ht="15" hidden="false" customHeight="false" outlineLevel="0" collapsed="false">
      <c r="A434" s="3" t="s">
        <v>1745</v>
      </c>
      <c r="B434" s="8" t="n">
        <v>45957</v>
      </c>
      <c r="C434" s="3" t="s">
        <v>1143</v>
      </c>
      <c r="D434" s="9" t="n">
        <v>1050592.89</v>
      </c>
      <c r="E434" s="9"/>
      <c r="F434" s="9" t="n">
        <f aca="false">F433+D434-E434</f>
        <v>97514607.41</v>
      </c>
    </row>
    <row r="435" customFormat="false" ht="15" hidden="false" customHeight="false" outlineLevel="0" collapsed="false">
      <c r="A435" s="3" t="s">
        <v>1746</v>
      </c>
      <c r="B435" s="8" t="n">
        <v>45957</v>
      </c>
      <c r="C435" s="3" t="s">
        <v>1747</v>
      </c>
      <c r="D435" s="9"/>
      <c r="E435" s="9" t="n">
        <v>4085300</v>
      </c>
      <c r="F435" s="9" t="n">
        <f aca="false">F434+D435-E435</f>
        <v>93429307.41</v>
      </c>
    </row>
    <row r="436" customFormat="false" ht="15" hidden="false" customHeight="false" outlineLevel="0" collapsed="false">
      <c r="A436" s="3" t="s">
        <v>1748</v>
      </c>
      <c r="B436" s="8" t="n">
        <v>45958</v>
      </c>
      <c r="C436" s="3" t="s">
        <v>1245</v>
      </c>
      <c r="D436" s="9"/>
      <c r="E436" s="9" t="n">
        <v>1000000</v>
      </c>
      <c r="F436" s="9" t="n">
        <f aca="false">F435+D436-E436</f>
        <v>92429307.41</v>
      </c>
    </row>
    <row r="437" customFormat="false" ht="15" hidden="false" customHeight="false" outlineLevel="0" collapsed="false">
      <c r="A437" s="3" t="s">
        <v>1749</v>
      </c>
      <c r="B437" s="8" t="n">
        <v>45960</v>
      </c>
      <c r="C437" s="3" t="s">
        <v>1153</v>
      </c>
      <c r="D437" s="9"/>
      <c r="E437" s="9" t="n">
        <v>153012.19</v>
      </c>
      <c r="F437" s="9" t="n">
        <f aca="false">F436+D437-E437</f>
        <v>92276295.22</v>
      </c>
    </row>
    <row r="438" customFormat="false" ht="15" hidden="false" customHeight="false" outlineLevel="0" collapsed="false">
      <c r="A438" s="3" t="s">
        <v>1750</v>
      </c>
      <c r="B438" s="8" t="n">
        <v>45961</v>
      </c>
      <c r="C438" s="3" t="s">
        <v>1176</v>
      </c>
      <c r="D438" s="9"/>
      <c r="E438" s="9" t="n">
        <v>276952.5</v>
      </c>
      <c r="F438" s="9" t="n">
        <f aca="false">F437+D438-E438</f>
        <v>91999342.72</v>
      </c>
    </row>
    <row r="439" customFormat="false" ht="15" hidden="false" customHeight="false" outlineLevel="0" collapsed="false">
      <c r="A439" s="3" t="s">
        <v>1751</v>
      </c>
      <c r="B439" s="8" t="n">
        <v>45964</v>
      </c>
      <c r="C439" s="3" t="s">
        <v>1752</v>
      </c>
      <c r="D439" s="9" t="n">
        <v>4167900</v>
      </c>
      <c r="E439" s="9"/>
      <c r="F439" s="9" t="n">
        <f aca="false">F438+D439-E439</f>
        <v>96167242.72</v>
      </c>
    </row>
    <row r="440" customFormat="false" ht="15" hidden="false" customHeight="false" outlineLevel="0" collapsed="false">
      <c r="A440" s="3" t="s">
        <v>1753</v>
      </c>
      <c r="B440" s="8" t="n">
        <v>45964</v>
      </c>
      <c r="C440" s="3" t="s">
        <v>1157</v>
      </c>
      <c r="D440" s="9" t="n">
        <v>627953.99</v>
      </c>
      <c r="E440" s="9"/>
      <c r="F440" s="9" t="n">
        <f aca="false">F439+D440-E440</f>
        <v>96795196.71</v>
      </c>
    </row>
    <row r="441" customFormat="false" ht="15" hidden="false" customHeight="false" outlineLevel="0" collapsed="false">
      <c r="A441" s="3" t="s">
        <v>1754</v>
      </c>
      <c r="B441" s="8" t="n">
        <v>45964</v>
      </c>
      <c r="C441" s="3" t="s">
        <v>1145</v>
      </c>
      <c r="D441" s="9"/>
      <c r="E441" s="9" t="n">
        <v>85000</v>
      </c>
      <c r="F441" s="9" t="n">
        <f aca="false">F440+D441-E441</f>
        <v>96710196.71</v>
      </c>
    </row>
    <row r="442" customFormat="false" ht="15" hidden="false" customHeight="false" outlineLevel="0" collapsed="false">
      <c r="A442" s="3" t="s">
        <v>1755</v>
      </c>
      <c r="B442" s="8" t="n">
        <v>45965</v>
      </c>
      <c r="C442" s="3" t="s">
        <v>1153</v>
      </c>
      <c r="D442" s="9"/>
      <c r="E442" s="9" t="n">
        <v>204595.69</v>
      </c>
      <c r="F442" s="9" t="n">
        <f aca="false">F441+D442-E442</f>
        <v>96505601.02</v>
      </c>
    </row>
    <row r="443" customFormat="false" ht="15" hidden="false" customHeight="false" outlineLevel="0" collapsed="false">
      <c r="A443" s="3" t="s">
        <v>1756</v>
      </c>
      <c r="B443" s="8" t="n">
        <v>45965</v>
      </c>
      <c r="C443" s="3" t="s">
        <v>1189</v>
      </c>
      <c r="D443" s="9"/>
      <c r="E443" s="9" t="n">
        <v>607000</v>
      </c>
      <c r="F443" s="9" t="n">
        <f aca="false">F442+D443-E443</f>
        <v>95898601.02</v>
      </c>
    </row>
    <row r="444" customFormat="false" ht="15" hidden="false" customHeight="false" outlineLevel="0" collapsed="false">
      <c r="A444" s="3" t="s">
        <v>1757</v>
      </c>
      <c r="B444" s="8" t="n">
        <v>45965</v>
      </c>
      <c r="C444" s="3" t="s">
        <v>1758</v>
      </c>
      <c r="D444" s="9"/>
      <c r="E444" s="9" t="n">
        <v>1901100</v>
      </c>
      <c r="F444" s="9" t="n">
        <f aca="false">F443+D444-E444</f>
        <v>93997501.02</v>
      </c>
    </row>
    <row r="445" customFormat="false" ht="15" hidden="false" customHeight="false" outlineLevel="0" collapsed="false">
      <c r="A445" s="3" t="s">
        <v>1759</v>
      </c>
      <c r="B445" s="8" t="n">
        <v>45966</v>
      </c>
      <c r="C445" s="3" t="s">
        <v>1760</v>
      </c>
      <c r="D445" s="9" t="n">
        <v>2903700</v>
      </c>
      <c r="E445" s="9"/>
      <c r="F445" s="9" t="n">
        <f aca="false">F444+D445-E445</f>
        <v>96901201.02</v>
      </c>
    </row>
    <row r="446" customFormat="false" ht="15" hidden="false" customHeight="false" outlineLevel="0" collapsed="false">
      <c r="A446" s="3" t="s">
        <v>1761</v>
      </c>
      <c r="B446" s="8" t="n">
        <v>45966</v>
      </c>
      <c r="C446" s="3" t="s">
        <v>1762</v>
      </c>
      <c r="D446" s="9"/>
      <c r="E446" s="9" t="n">
        <v>9240000</v>
      </c>
      <c r="F446" s="9" t="n">
        <f aca="false">F445+D446-E446</f>
        <v>87661201.02</v>
      </c>
    </row>
    <row r="447" customFormat="false" ht="15" hidden="false" customHeight="false" outlineLevel="0" collapsed="false">
      <c r="A447" s="3" t="s">
        <v>1763</v>
      </c>
      <c r="B447" s="8" t="n">
        <v>45967</v>
      </c>
      <c r="C447" s="3" t="s">
        <v>1143</v>
      </c>
      <c r="D447" s="9" t="n">
        <v>1868313.73</v>
      </c>
      <c r="E447" s="9"/>
      <c r="F447" s="9" t="n">
        <f aca="false">F446+D447-E447</f>
        <v>89529514.75</v>
      </c>
    </row>
    <row r="448" customFormat="false" ht="15" hidden="false" customHeight="false" outlineLevel="0" collapsed="false">
      <c r="A448" s="3" t="s">
        <v>1764</v>
      </c>
      <c r="B448" s="8" t="n">
        <v>45967</v>
      </c>
      <c r="C448" s="3" t="s">
        <v>1153</v>
      </c>
      <c r="D448" s="9"/>
      <c r="E448" s="9" t="n">
        <v>250329.92</v>
      </c>
      <c r="F448" s="9" t="n">
        <f aca="false">F447+D448-E448</f>
        <v>89279184.83</v>
      </c>
    </row>
    <row r="449" customFormat="false" ht="15" hidden="false" customHeight="false" outlineLevel="0" collapsed="false">
      <c r="A449" s="3" t="s">
        <v>1765</v>
      </c>
      <c r="B449" s="8" t="n">
        <v>45968</v>
      </c>
      <c r="C449" s="3" t="s">
        <v>1151</v>
      </c>
      <c r="D449" s="9" t="n">
        <v>618220.24</v>
      </c>
      <c r="E449" s="9"/>
      <c r="F449" s="9" t="n">
        <f aca="false">F448+D449-E449</f>
        <v>89897405.07</v>
      </c>
    </row>
    <row r="450" customFormat="false" ht="15" hidden="false" customHeight="false" outlineLevel="0" collapsed="false">
      <c r="A450" s="3" t="s">
        <v>1766</v>
      </c>
      <c r="B450" s="8" t="n">
        <v>45971</v>
      </c>
      <c r="C450" s="3" t="s">
        <v>1182</v>
      </c>
      <c r="D450" s="9"/>
      <c r="E450" s="9" t="n">
        <v>1383500</v>
      </c>
      <c r="F450" s="9" t="n">
        <f aca="false">F449+D450-E450</f>
        <v>88513905.07</v>
      </c>
    </row>
    <row r="451" customFormat="false" ht="15" hidden="false" customHeight="false" outlineLevel="0" collapsed="false">
      <c r="A451" s="3" t="s">
        <v>1767</v>
      </c>
      <c r="B451" s="8" t="n">
        <v>45971</v>
      </c>
      <c r="C451" s="3" t="s">
        <v>1768</v>
      </c>
      <c r="D451" s="9"/>
      <c r="E451" s="9" t="n">
        <v>487060</v>
      </c>
      <c r="F451" s="9" t="n">
        <f aca="false">F450+D451-E451</f>
        <v>88026845.07</v>
      </c>
    </row>
    <row r="452" customFormat="false" ht="15" hidden="false" customHeight="false" outlineLevel="0" collapsed="false">
      <c r="A452" s="3" t="s">
        <v>1769</v>
      </c>
      <c r="B452" s="8" t="n">
        <v>45971</v>
      </c>
      <c r="C452" s="3" t="s">
        <v>1179</v>
      </c>
      <c r="D452" s="9"/>
      <c r="E452" s="9" t="n">
        <v>396400</v>
      </c>
      <c r="F452" s="9" t="n">
        <f aca="false">F451+D452-E452</f>
        <v>87630445.07</v>
      </c>
    </row>
    <row r="453" customFormat="false" ht="15" hidden="false" customHeight="false" outlineLevel="0" collapsed="false">
      <c r="A453" s="3" t="s">
        <v>1770</v>
      </c>
      <c r="B453" s="8" t="n">
        <v>45971</v>
      </c>
      <c r="C453" s="3" t="s">
        <v>1176</v>
      </c>
      <c r="D453" s="9"/>
      <c r="E453" s="9" t="n">
        <v>369001.14</v>
      </c>
      <c r="F453" s="9" t="n">
        <f aca="false">F452+D453-E453</f>
        <v>87261443.93</v>
      </c>
    </row>
    <row r="454" customFormat="false" ht="15" hidden="false" customHeight="false" outlineLevel="0" collapsed="false">
      <c r="A454" s="3" t="s">
        <v>1771</v>
      </c>
      <c r="B454" s="8" t="n">
        <v>45972</v>
      </c>
      <c r="C454" s="3" t="s">
        <v>1172</v>
      </c>
      <c r="D454" s="9"/>
      <c r="E454" s="9" t="n">
        <v>3856300</v>
      </c>
      <c r="F454" s="9" t="n">
        <f aca="false">F453+D454-E454</f>
        <v>83405143.93</v>
      </c>
    </row>
    <row r="455" customFormat="false" ht="15" hidden="false" customHeight="false" outlineLevel="0" collapsed="false">
      <c r="A455" s="3" t="s">
        <v>1772</v>
      </c>
      <c r="B455" s="8" t="n">
        <v>45972</v>
      </c>
      <c r="C455" s="3" t="s">
        <v>1189</v>
      </c>
      <c r="D455" s="9"/>
      <c r="E455" s="9" t="n">
        <v>320000</v>
      </c>
      <c r="F455" s="9" t="n">
        <f aca="false">F454+D455-E455</f>
        <v>83085143.93</v>
      </c>
    </row>
    <row r="456" customFormat="false" ht="15" hidden="false" customHeight="false" outlineLevel="0" collapsed="false">
      <c r="A456" s="3" t="s">
        <v>1773</v>
      </c>
      <c r="B456" s="8" t="n">
        <v>45972</v>
      </c>
      <c r="C456" s="3" t="s">
        <v>1179</v>
      </c>
      <c r="D456" s="9"/>
      <c r="E456" s="9" t="n">
        <v>315900</v>
      </c>
      <c r="F456" s="9" t="n">
        <f aca="false">F455+D456-E456</f>
        <v>82769243.93</v>
      </c>
    </row>
    <row r="457" customFormat="false" ht="15" hidden="false" customHeight="false" outlineLevel="0" collapsed="false">
      <c r="A457" s="3" t="s">
        <v>1774</v>
      </c>
      <c r="B457" s="8" t="n">
        <v>45973</v>
      </c>
      <c r="C457" s="3" t="s">
        <v>1168</v>
      </c>
      <c r="D457" s="9"/>
      <c r="E457" s="9" t="n">
        <v>74590.32</v>
      </c>
      <c r="F457" s="9" t="n">
        <f aca="false">F456+D457-E457</f>
        <v>82694653.61</v>
      </c>
    </row>
    <row r="458" customFormat="false" ht="15" hidden="false" customHeight="false" outlineLevel="0" collapsed="false">
      <c r="A458" s="3" t="s">
        <v>1775</v>
      </c>
      <c r="B458" s="8" t="n">
        <v>45973</v>
      </c>
      <c r="C458" s="3" t="s">
        <v>1143</v>
      </c>
      <c r="D458" s="9" t="n">
        <v>869363.02</v>
      </c>
      <c r="E458" s="9"/>
      <c r="F458" s="9" t="n">
        <f aca="false">F457+D458-E458</f>
        <v>83564016.63</v>
      </c>
    </row>
    <row r="459" customFormat="false" ht="15" hidden="false" customHeight="false" outlineLevel="0" collapsed="false">
      <c r="A459" s="3" t="s">
        <v>1776</v>
      </c>
      <c r="B459" s="8" t="n">
        <v>45973</v>
      </c>
      <c r="C459" s="3" t="s">
        <v>1777</v>
      </c>
      <c r="D459" s="9"/>
      <c r="E459" s="9" t="n">
        <v>894600</v>
      </c>
      <c r="F459" s="9" t="n">
        <f aca="false">F458+D459-E459</f>
        <v>82669416.63</v>
      </c>
    </row>
    <row r="460" customFormat="false" ht="15" hidden="false" customHeight="false" outlineLevel="0" collapsed="false">
      <c r="A460" s="3" t="s">
        <v>1778</v>
      </c>
      <c r="B460" s="8" t="n">
        <v>45974</v>
      </c>
      <c r="C460" s="3" t="s">
        <v>1235</v>
      </c>
      <c r="D460" s="9"/>
      <c r="E460" s="9" t="n">
        <v>2537300</v>
      </c>
      <c r="F460" s="9" t="n">
        <f aca="false">F459+D460-E460</f>
        <v>80132116.63</v>
      </c>
    </row>
    <row r="461" customFormat="false" ht="15" hidden="false" customHeight="false" outlineLevel="0" collapsed="false">
      <c r="A461" s="3" t="s">
        <v>1779</v>
      </c>
      <c r="B461" s="8" t="n">
        <v>45975</v>
      </c>
      <c r="C461" s="3" t="s">
        <v>1780</v>
      </c>
      <c r="D461" s="9" t="n">
        <v>3166900</v>
      </c>
      <c r="E461" s="9"/>
      <c r="F461" s="9" t="n">
        <f aca="false">F460+D461-E461</f>
        <v>83299016.63</v>
      </c>
    </row>
    <row r="462" customFormat="false" ht="15" hidden="false" customHeight="false" outlineLevel="0" collapsed="false">
      <c r="A462" s="3" t="s">
        <v>1781</v>
      </c>
      <c r="B462" s="8" t="n">
        <v>45978</v>
      </c>
      <c r="C462" s="3" t="s">
        <v>1782</v>
      </c>
      <c r="D462" s="9" t="n">
        <v>5841700</v>
      </c>
      <c r="E462" s="9"/>
      <c r="F462" s="9" t="n">
        <f aca="false">F461+D462-E462</f>
        <v>89140716.63</v>
      </c>
    </row>
    <row r="463" customFormat="false" ht="15" hidden="false" customHeight="false" outlineLevel="0" collapsed="false">
      <c r="A463" s="3" t="s">
        <v>1783</v>
      </c>
      <c r="B463" s="8" t="n">
        <v>45978</v>
      </c>
      <c r="C463" s="3" t="s">
        <v>1230</v>
      </c>
      <c r="D463" s="9"/>
      <c r="E463" s="9" t="n">
        <v>2479000</v>
      </c>
      <c r="F463" s="9" t="n">
        <f aca="false">F462+D463-E463</f>
        <v>86661716.63</v>
      </c>
    </row>
    <row r="464" customFormat="false" ht="15" hidden="false" customHeight="false" outlineLevel="0" collapsed="false">
      <c r="A464" s="3" t="s">
        <v>1784</v>
      </c>
      <c r="B464" s="8" t="n">
        <v>45979</v>
      </c>
      <c r="C464" s="3" t="s">
        <v>1785</v>
      </c>
      <c r="D464" s="9" t="n">
        <v>3893100</v>
      </c>
      <c r="E464" s="9"/>
      <c r="F464" s="9" t="n">
        <f aca="false">F463+D464-E464</f>
        <v>90554816.63</v>
      </c>
    </row>
    <row r="465" customFormat="false" ht="15" hidden="false" customHeight="false" outlineLevel="0" collapsed="false">
      <c r="A465" s="3" t="s">
        <v>1786</v>
      </c>
      <c r="B465" s="8" t="n">
        <v>45980</v>
      </c>
      <c r="C465" s="3" t="s">
        <v>1196</v>
      </c>
      <c r="D465" s="9" t="n">
        <v>4786400</v>
      </c>
      <c r="E465" s="9"/>
      <c r="F465" s="9" t="n">
        <f aca="false">F464+D465-E465</f>
        <v>95341216.63</v>
      </c>
    </row>
    <row r="466" customFormat="false" ht="15" hidden="false" customHeight="false" outlineLevel="0" collapsed="false">
      <c r="A466" s="3" t="s">
        <v>1787</v>
      </c>
      <c r="B466" s="8" t="n">
        <v>45981</v>
      </c>
      <c r="C466" s="3" t="s">
        <v>1143</v>
      </c>
      <c r="D466" s="9" t="n">
        <v>2283638.21</v>
      </c>
      <c r="E466" s="9"/>
      <c r="F466" s="9" t="n">
        <f aca="false">F465+D466-E466</f>
        <v>97624854.84</v>
      </c>
    </row>
    <row r="467" customFormat="false" ht="15" hidden="false" customHeight="false" outlineLevel="0" collapsed="false">
      <c r="A467" s="3" t="s">
        <v>1788</v>
      </c>
      <c r="B467" s="8" t="n">
        <v>45981</v>
      </c>
      <c r="C467" s="3" t="s">
        <v>1157</v>
      </c>
      <c r="D467" s="9" t="n">
        <v>1317901.03</v>
      </c>
      <c r="E467" s="9"/>
      <c r="F467" s="9" t="n">
        <f aca="false">F466+D467-E467</f>
        <v>98942755.87</v>
      </c>
    </row>
    <row r="468" customFormat="false" ht="15" hidden="false" customHeight="false" outlineLevel="0" collapsed="false">
      <c r="A468" s="3" t="s">
        <v>1789</v>
      </c>
      <c r="B468" s="8" t="n">
        <v>45981</v>
      </c>
      <c r="C468" s="3" t="s">
        <v>1790</v>
      </c>
      <c r="D468" s="9"/>
      <c r="E468" s="9" t="n">
        <v>1386714.93</v>
      </c>
      <c r="F468" s="9" t="n">
        <f aca="false">F467+D468-E468</f>
        <v>97556040.94</v>
      </c>
    </row>
    <row r="469" customFormat="false" ht="15" hidden="false" customHeight="false" outlineLevel="0" collapsed="false">
      <c r="A469" s="3" t="s">
        <v>1791</v>
      </c>
      <c r="B469" s="8" t="n">
        <v>45982</v>
      </c>
      <c r="C469" s="3" t="s">
        <v>1792</v>
      </c>
      <c r="D469" s="9" t="n">
        <v>4894200</v>
      </c>
      <c r="E469" s="9"/>
      <c r="F469" s="9" t="n">
        <f aca="false">F468+D469-E469</f>
        <v>102450240.94</v>
      </c>
    </row>
    <row r="470" customFormat="false" ht="15" hidden="false" customHeight="false" outlineLevel="0" collapsed="false">
      <c r="A470" s="3" t="s">
        <v>1793</v>
      </c>
      <c r="B470" s="8" t="n">
        <v>45982</v>
      </c>
      <c r="C470" s="3" t="s">
        <v>1151</v>
      </c>
      <c r="D470" s="9" t="n">
        <v>681886.1</v>
      </c>
      <c r="E470" s="9"/>
      <c r="F470" s="9" t="n">
        <f aca="false">F469+D470-E470</f>
        <v>103132127.04</v>
      </c>
    </row>
    <row r="471" customFormat="false" ht="15" hidden="false" customHeight="false" outlineLevel="0" collapsed="false">
      <c r="A471" s="3" t="s">
        <v>1794</v>
      </c>
      <c r="B471" s="8" t="n">
        <v>45985</v>
      </c>
      <c r="C471" s="3" t="s">
        <v>1191</v>
      </c>
      <c r="D471" s="9"/>
      <c r="E471" s="9" t="n">
        <v>163687.78</v>
      </c>
      <c r="F471" s="9" t="n">
        <f aca="false">F470+D471-E471</f>
        <v>102968439.26</v>
      </c>
    </row>
    <row r="472" customFormat="false" ht="15" hidden="false" customHeight="false" outlineLevel="0" collapsed="false">
      <c r="A472" s="3" t="s">
        <v>1795</v>
      </c>
      <c r="B472" s="8" t="n">
        <v>45985</v>
      </c>
      <c r="C472" s="3" t="s">
        <v>1153</v>
      </c>
      <c r="D472" s="9"/>
      <c r="E472" s="9" t="n">
        <v>248766.88</v>
      </c>
      <c r="F472" s="9" t="n">
        <f aca="false">F471+D472-E472</f>
        <v>102719672.38</v>
      </c>
    </row>
    <row r="473" customFormat="false" ht="15" hidden="false" customHeight="false" outlineLevel="0" collapsed="false">
      <c r="A473" s="3" t="s">
        <v>1796</v>
      </c>
      <c r="B473" s="8" t="n">
        <v>45986</v>
      </c>
      <c r="C473" s="3" t="s">
        <v>1797</v>
      </c>
      <c r="D473" s="9"/>
      <c r="E473" s="9" t="n">
        <v>1500000</v>
      </c>
      <c r="F473" s="9" t="n">
        <f aca="false">F472+D473-E473</f>
        <v>101219672.38</v>
      </c>
    </row>
    <row r="474" customFormat="false" ht="15" hidden="false" customHeight="false" outlineLevel="0" collapsed="false">
      <c r="A474" s="3" t="s">
        <v>1798</v>
      </c>
      <c r="B474" s="8" t="n">
        <v>45988</v>
      </c>
      <c r="C474" s="3" t="s">
        <v>1143</v>
      </c>
      <c r="D474" s="9" t="n">
        <v>2014397.91</v>
      </c>
      <c r="E474" s="9"/>
      <c r="F474" s="9" t="n">
        <f aca="false">F473+D474-E474</f>
        <v>103234070.29</v>
      </c>
    </row>
    <row r="475" customFormat="false" ht="15" hidden="false" customHeight="false" outlineLevel="0" collapsed="false">
      <c r="A475" s="3" t="s">
        <v>1799</v>
      </c>
      <c r="B475" s="8" t="n">
        <v>45988</v>
      </c>
      <c r="C475" s="3" t="s">
        <v>1800</v>
      </c>
      <c r="D475" s="9"/>
      <c r="E475" s="9" t="n">
        <v>4085300</v>
      </c>
      <c r="F475" s="9" t="n">
        <f aca="false">F474+D475-E475</f>
        <v>99148770.29</v>
      </c>
    </row>
    <row r="476" customFormat="false" ht="15" hidden="false" customHeight="false" outlineLevel="0" collapsed="false">
      <c r="A476" s="3" t="s">
        <v>1801</v>
      </c>
      <c r="B476" s="8" t="n">
        <v>45992</v>
      </c>
      <c r="C476" s="3" t="s">
        <v>1802</v>
      </c>
      <c r="D476" s="9" t="n">
        <v>1522000</v>
      </c>
      <c r="E476" s="9"/>
      <c r="F476" s="9" t="n">
        <f aca="false">F475+D476-E476</f>
        <v>100670770.29</v>
      </c>
    </row>
    <row r="477" customFormat="false" ht="15" hidden="false" customHeight="false" outlineLevel="0" collapsed="false">
      <c r="A477" s="3" t="s">
        <v>1803</v>
      </c>
      <c r="B477" s="8" t="n">
        <v>45992</v>
      </c>
      <c r="C477" s="3" t="s">
        <v>1176</v>
      </c>
      <c r="D477" s="9"/>
      <c r="E477" s="9" t="n">
        <v>339384.55</v>
      </c>
      <c r="F477" s="9" t="n">
        <f aca="false">F476+D477-E477</f>
        <v>100331385.74</v>
      </c>
    </row>
    <row r="478" customFormat="false" ht="15" hidden="false" customHeight="false" outlineLevel="0" collapsed="false">
      <c r="A478" s="3" t="s">
        <v>1804</v>
      </c>
      <c r="B478" s="8" t="n">
        <v>45993</v>
      </c>
      <c r="C478" s="3" t="s">
        <v>1153</v>
      </c>
      <c r="D478" s="9"/>
      <c r="E478" s="9" t="n">
        <v>319336.71</v>
      </c>
      <c r="F478" s="9" t="n">
        <f aca="false">F477+D478-E478</f>
        <v>100012049.03</v>
      </c>
    </row>
    <row r="479" customFormat="false" ht="15" hidden="false" customHeight="false" outlineLevel="0" collapsed="false">
      <c r="A479" s="3" t="s">
        <v>1805</v>
      </c>
      <c r="B479" s="8" t="n">
        <v>45995</v>
      </c>
      <c r="C479" s="3" t="s">
        <v>1157</v>
      </c>
      <c r="D479" s="9" t="n">
        <v>585782.69</v>
      </c>
      <c r="E479" s="9"/>
      <c r="F479" s="9" t="n">
        <f aca="false">F478+D479-E479</f>
        <v>100597831.72</v>
      </c>
    </row>
    <row r="480" customFormat="false" ht="15" hidden="false" customHeight="false" outlineLevel="0" collapsed="false">
      <c r="A480" s="3" t="s">
        <v>1806</v>
      </c>
      <c r="B480" s="8" t="n">
        <v>45996</v>
      </c>
      <c r="C480" s="3" t="s">
        <v>1145</v>
      </c>
      <c r="D480" s="9"/>
      <c r="E480" s="9" t="n">
        <v>85000</v>
      </c>
      <c r="F480" s="9" t="n">
        <f aca="false">F479+D480-E480</f>
        <v>100512831.72</v>
      </c>
    </row>
    <row r="481" customFormat="false" ht="15" hidden="false" customHeight="false" outlineLevel="0" collapsed="false">
      <c r="A481" s="3" t="s">
        <v>1807</v>
      </c>
      <c r="B481" s="8" t="n">
        <v>45999</v>
      </c>
      <c r="C481" s="3" t="s">
        <v>1808</v>
      </c>
      <c r="D481" s="9" t="n">
        <v>3973000</v>
      </c>
      <c r="E481" s="9"/>
      <c r="F481" s="9" t="n">
        <f aca="false">F480+D481-E481</f>
        <v>104485831.72</v>
      </c>
    </row>
    <row r="482" customFormat="false" ht="15" hidden="false" customHeight="false" outlineLevel="0" collapsed="false">
      <c r="A482" s="3" t="s">
        <v>1809</v>
      </c>
      <c r="B482" s="8" t="n">
        <v>45999</v>
      </c>
      <c r="C482" s="3" t="s">
        <v>1143</v>
      </c>
      <c r="D482" s="9" t="n">
        <v>1814221.52</v>
      </c>
      <c r="E482" s="9"/>
      <c r="F482" s="9" t="n">
        <f aca="false">F481+D482-E482</f>
        <v>106300053.24</v>
      </c>
    </row>
    <row r="483" customFormat="false" ht="15" hidden="false" customHeight="false" outlineLevel="0" collapsed="false">
      <c r="A483" s="3" t="s">
        <v>1810</v>
      </c>
      <c r="B483" s="8" t="n">
        <v>45999</v>
      </c>
      <c r="C483" s="3" t="s">
        <v>1179</v>
      </c>
      <c r="D483" s="9"/>
      <c r="E483" s="9" t="n">
        <v>416500</v>
      </c>
      <c r="F483" s="9" t="n">
        <f aca="false">F482+D483-E483</f>
        <v>105883553.24</v>
      </c>
    </row>
    <row r="484" customFormat="false" ht="15" hidden="false" customHeight="false" outlineLevel="0" collapsed="false">
      <c r="A484" s="3" t="s">
        <v>1811</v>
      </c>
      <c r="B484" s="8" t="n">
        <v>45999</v>
      </c>
      <c r="C484" s="3" t="s">
        <v>1179</v>
      </c>
      <c r="D484" s="9"/>
      <c r="E484" s="9" t="n">
        <v>355600</v>
      </c>
      <c r="F484" s="9" t="n">
        <f aca="false">F483+D484-E484</f>
        <v>105527953.24</v>
      </c>
    </row>
    <row r="485" customFormat="false" ht="15" hidden="false" customHeight="false" outlineLevel="0" collapsed="false">
      <c r="A485" s="3" t="s">
        <v>1812</v>
      </c>
      <c r="B485" s="8" t="n">
        <v>45999</v>
      </c>
      <c r="C485" s="3" t="s">
        <v>1153</v>
      </c>
      <c r="D485" s="9"/>
      <c r="E485" s="9" t="n">
        <v>303365.91</v>
      </c>
      <c r="F485" s="9" t="n">
        <f aca="false">F484+D485-E485</f>
        <v>105224587.33</v>
      </c>
    </row>
    <row r="486" customFormat="false" ht="15" hidden="false" customHeight="false" outlineLevel="0" collapsed="false">
      <c r="A486" s="3" t="s">
        <v>1813</v>
      </c>
      <c r="B486" s="8" t="n">
        <v>46000</v>
      </c>
      <c r="C486" s="3" t="s">
        <v>1151</v>
      </c>
      <c r="D486" s="9" t="n">
        <v>1330013.33</v>
      </c>
      <c r="E486" s="9"/>
      <c r="F486" s="9" t="n">
        <f aca="false">F485+D486-E486</f>
        <v>106554600.66</v>
      </c>
    </row>
    <row r="487" customFormat="false" ht="15" hidden="false" customHeight="false" outlineLevel="0" collapsed="false">
      <c r="A487" s="3" t="s">
        <v>1814</v>
      </c>
      <c r="B487" s="8" t="n">
        <v>46000</v>
      </c>
      <c r="C487" s="3" t="s">
        <v>1168</v>
      </c>
      <c r="D487" s="9"/>
      <c r="E487" s="9" t="n">
        <v>117856.6</v>
      </c>
      <c r="F487" s="9" t="n">
        <f aca="false">F486+D487-E487</f>
        <v>106436744.06</v>
      </c>
    </row>
    <row r="488" customFormat="false" ht="15" hidden="false" customHeight="false" outlineLevel="0" collapsed="false">
      <c r="A488" s="3" t="s">
        <v>1815</v>
      </c>
      <c r="B488" s="8" t="n">
        <v>46000</v>
      </c>
      <c r="C488" s="3" t="s">
        <v>1816</v>
      </c>
      <c r="D488" s="9"/>
      <c r="E488" s="9" t="n">
        <v>3088500</v>
      </c>
      <c r="F488" s="9" t="n">
        <f aca="false">F487+D488-E488</f>
        <v>103348244.06</v>
      </c>
    </row>
    <row r="489" customFormat="false" ht="15" hidden="false" customHeight="false" outlineLevel="0" collapsed="false">
      <c r="A489" s="3" t="s">
        <v>1817</v>
      </c>
      <c r="B489" s="8" t="n">
        <v>46001</v>
      </c>
      <c r="C489" s="3" t="s">
        <v>1818</v>
      </c>
      <c r="D489" s="9" t="n">
        <v>2648400</v>
      </c>
      <c r="E489" s="9"/>
      <c r="F489" s="9" t="n">
        <f aca="false">F488+D489-E489</f>
        <v>105996644.06</v>
      </c>
    </row>
    <row r="490" customFormat="false" ht="15" hidden="false" customHeight="false" outlineLevel="0" collapsed="false">
      <c r="A490" s="3" t="s">
        <v>1819</v>
      </c>
      <c r="B490" s="8" t="n">
        <v>46001</v>
      </c>
      <c r="C490" s="3" t="s">
        <v>1174</v>
      </c>
      <c r="D490" s="9"/>
      <c r="E490" s="9" t="n">
        <v>3123400</v>
      </c>
      <c r="F490" s="9" t="n">
        <f aca="false">F489+D490-E490</f>
        <v>102873244.06</v>
      </c>
    </row>
    <row r="491" customFormat="false" ht="15" hidden="false" customHeight="false" outlineLevel="0" collapsed="false">
      <c r="A491" s="3" t="s">
        <v>1820</v>
      </c>
      <c r="B491" s="8" t="n">
        <v>46001</v>
      </c>
      <c r="C491" s="3" t="s">
        <v>1821</v>
      </c>
      <c r="D491" s="9"/>
      <c r="E491" s="9" t="n">
        <v>487060</v>
      </c>
      <c r="F491" s="9" t="n">
        <f aca="false">F490+D491-E491</f>
        <v>102386184.06</v>
      </c>
    </row>
    <row r="492" customFormat="false" ht="15" hidden="false" customHeight="false" outlineLevel="0" collapsed="false">
      <c r="A492" s="3" t="s">
        <v>1822</v>
      </c>
      <c r="B492" s="8" t="n">
        <v>46002</v>
      </c>
      <c r="C492" s="3" t="s">
        <v>1245</v>
      </c>
      <c r="D492" s="9"/>
      <c r="E492" s="9" t="n">
        <v>1500000</v>
      </c>
      <c r="F492" s="9" t="n">
        <f aca="false">F491+D492-E492</f>
        <v>100886184.06</v>
      </c>
    </row>
    <row r="493" customFormat="false" ht="15" hidden="false" customHeight="false" outlineLevel="0" collapsed="false">
      <c r="A493" s="3" t="s">
        <v>1823</v>
      </c>
      <c r="B493" s="8" t="n">
        <v>46006</v>
      </c>
      <c r="C493" s="3" t="s">
        <v>1824</v>
      </c>
      <c r="D493" s="9" t="n">
        <v>5788500</v>
      </c>
      <c r="E493" s="9"/>
      <c r="F493" s="9" t="n">
        <f aca="false">F492+D493-E493</f>
        <v>106674684.06</v>
      </c>
    </row>
    <row r="494" customFormat="false" ht="15" hidden="false" customHeight="false" outlineLevel="0" collapsed="false">
      <c r="A494" s="3" t="s">
        <v>1825</v>
      </c>
      <c r="B494" s="8" t="n">
        <v>46006</v>
      </c>
      <c r="C494" s="3" t="s">
        <v>1826</v>
      </c>
      <c r="D494" s="9" t="n">
        <v>2979800</v>
      </c>
      <c r="E494" s="9"/>
      <c r="F494" s="9" t="n">
        <f aca="false">F493+D494-E494</f>
        <v>109654484.06</v>
      </c>
    </row>
    <row r="495" customFormat="false" ht="15" hidden="false" customHeight="false" outlineLevel="0" collapsed="false">
      <c r="A495" s="3" t="s">
        <v>1827</v>
      </c>
      <c r="B495" s="8" t="n">
        <v>46006</v>
      </c>
      <c r="C495" s="3" t="s">
        <v>1143</v>
      </c>
      <c r="D495" s="9" t="n">
        <v>1994179.2</v>
      </c>
      <c r="E495" s="9"/>
      <c r="F495" s="9" t="n">
        <f aca="false">F494+D495-E495</f>
        <v>111648663.26</v>
      </c>
    </row>
    <row r="496" customFormat="false" ht="15" hidden="false" customHeight="false" outlineLevel="0" collapsed="false">
      <c r="A496" s="3" t="s">
        <v>1828</v>
      </c>
      <c r="B496" s="8" t="n">
        <v>46006</v>
      </c>
      <c r="C496" s="3" t="s">
        <v>1157</v>
      </c>
      <c r="D496" s="9" t="n">
        <v>1386624.8</v>
      </c>
      <c r="E496" s="9"/>
      <c r="F496" s="9" t="n">
        <f aca="false">F495+D496-E496</f>
        <v>113035288.06</v>
      </c>
    </row>
    <row r="497" customFormat="false" ht="15" hidden="false" customHeight="false" outlineLevel="0" collapsed="false">
      <c r="A497" s="3" t="s">
        <v>1829</v>
      </c>
      <c r="B497" s="8" t="n">
        <v>46006</v>
      </c>
      <c r="C497" s="3" t="s">
        <v>1157</v>
      </c>
      <c r="D497" s="9" t="n">
        <v>1756848.52</v>
      </c>
      <c r="E497" s="9"/>
      <c r="F497" s="9" t="n">
        <f aca="false">F496+D497-E497</f>
        <v>114792136.58</v>
      </c>
    </row>
    <row r="498" customFormat="false" ht="15" hidden="false" customHeight="false" outlineLevel="0" collapsed="false">
      <c r="A498" s="3" t="s">
        <v>1830</v>
      </c>
      <c r="B498" s="8" t="n">
        <v>46006</v>
      </c>
      <c r="C498" s="3" t="s">
        <v>1165</v>
      </c>
      <c r="D498" s="9"/>
      <c r="E498" s="9" t="n">
        <v>2916600</v>
      </c>
      <c r="F498" s="9" t="n">
        <f aca="false">F497+D498-E498</f>
        <v>111875536.58</v>
      </c>
    </row>
    <row r="499" customFormat="false" ht="15" hidden="false" customHeight="false" outlineLevel="0" collapsed="false">
      <c r="A499" s="3" t="s">
        <v>1831</v>
      </c>
      <c r="B499" s="8" t="n">
        <v>46006</v>
      </c>
      <c r="C499" s="3" t="s">
        <v>1832</v>
      </c>
      <c r="D499" s="9"/>
      <c r="E499" s="9" t="n">
        <v>894600</v>
      </c>
      <c r="F499" s="9" t="n">
        <f aca="false">F498+D499-E499</f>
        <v>110980936.58</v>
      </c>
    </row>
    <row r="500" customFormat="false" ht="15" hidden="false" customHeight="false" outlineLevel="0" collapsed="false">
      <c r="A500" s="3" t="s">
        <v>1833</v>
      </c>
      <c r="B500" s="8" t="n">
        <v>46006</v>
      </c>
      <c r="C500" s="3" t="s">
        <v>1176</v>
      </c>
      <c r="D500" s="9"/>
      <c r="E500" s="9" t="n">
        <v>283132.32</v>
      </c>
      <c r="F500" s="9" t="n">
        <f aca="false">F499+D500-E500</f>
        <v>110697804.26</v>
      </c>
    </row>
    <row r="501" customFormat="false" ht="15" hidden="false" customHeight="false" outlineLevel="0" collapsed="false">
      <c r="A501" s="3" t="s">
        <v>1834</v>
      </c>
      <c r="B501" s="8" t="n">
        <v>46007</v>
      </c>
      <c r="C501" s="3" t="s">
        <v>1189</v>
      </c>
      <c r="D501" s="9"/>
      <c r="E501" s="9" t="n">
        <v>452000</v>
      </c>
      <c r="F501" s="9" t="n">
        <f aca="false">F500+D501-E501</f>
        <v>110245804.26</v>
      </c>
    </row>
    <row r="502" customFormat="false" ht="15" hidden="false" customHeight="false" outlineLevel="0" collapsed="false">
      <c r="A502" s="3" t="s">
        <v>1835</v>
      </c>
      <c r="B502" s="8" t="n">
        <v>46008</v>
      </c>
      <c r="C502" s="3" t="s">
        <v>1298</v>
      </c>
      <c r="D502" s="9"/>
      <c r="E502" s="9" t="n">
        <v>284000</v>
      </c>
      <c r="F502" s="9" t="n">
        <f aca="false">F501+D502-E502</f>
        <v>109961804.26</v>
      </c>
    </row>
    <row r="503" customFormat="false" ht="15" hidden="false" customHeight="false" outlineLevel="0" collapsed="false">
      <c r="A503" s="3" t="s">
        <v>1836</v>
      </c>
      <c r="B503" s="8" t="n">
        <v>46010</v>
      </c>
      <c r="C503" s="3" t="s">
        <v>1174</v>
      </c>
      <c r="D503" s="9"/>
      <c r="E503" s="9" t="n">
        <v>2729800</v>
      </c>
      <c r="F503" s="9" t="n">
        <f aca="false">F502+D503-E503</f>
        <v>107232004.26</v>
      </c>
    </row>
    <row r="504" customFormat="false" ht="15" hidden="false" customHeight="false" outlineLevel="0" collapsed="false">
      <c r="A504" s="3" t="s">
        <v>1837</v>
      </c>
      <c r="B504" s="8" t="n">
        <v>46010</v>
      </c>
      <c r="C504" s="3" t="s">
        <v>1838</v>
      </c>
      <c r="D504" s="9"/>
      <c r="E504" s="9" t="n">
        <v>3676800</v>
      </c>
      <c r="F504" s="9" t="n">
        <f aca="false">F503+D504-E504</f>
        <v>103555204.26</v>
      </c>
    </row>
    <row r="505" customFormat="false" ht="15" hidden="false" customHeight="false" outlineLevel="0" collapsed="false">
      <c r="A505" s="3" t="s">
        <v>1839</v>
      </c>
      <c r="B505" s="8" t="n">
        <v>46010</v>
      </c>
      <c r="C505" s="3" t="s">
        <v>1151</v>
      </c>
      <c r="D505" s="9" t="n">
        <v>1442000.87</v>
      </c>
      <c r="E505" s="9"/>
      <c r="F505" s="9" t="n">
        <f aca="false">F504+D505-E505</f>
        <v>104997205.13</v>
      </c>
    </row>
    <row r="506" customFormat="false" ht="15" hidden="false" customHeight="false" outlineLevel="0" collapsed="false">
      <c r="A506" s="3" t="s">
        <v>1840</v>
      </c>
      <c r="B506" s="8" t="n">
        <v>46010</v>
      </c>
      <c r="C506" s="3" t="s">
        <v>1153</v>
      </c>
      <c r="D506" s="9"/>
      <c r="E506" s="9" t="n">
        <v>322368.72</v>
      </c>
      <c r="F506" s="9" t="n">
        <f aca="false">F505+D506-E506</f>
        <v>104674836.41</v>
      </c>
    </row>
    <row r="507" customFormat="false" ht="15" hidden="false" customHeight="false" outlineLevel="0" collapsed="false">
      <c r="A507" s="3" t="s">
        <v>1841</v>
      </c>
      <c r="B507" s="8" t="n">
        <v>46013</v>
      </c>
      <c r="C507" s="3" t="s">
        <v>1143</v>
      </c>
      <c r="D507" s="9" t="n">
        <v>1469388.59</v>
      </c>
      <c r="E507" s="9"/>
      <c r="F507" s="9" t="n">
        <f aca="false">F506+D507-E507</f>
        <v>106144225</v>
      </c>
    </row>
    <row r="508" customFormat="false" ht="15" hidden="false" customHeight="false" outlineLevel="0" collapsed="false">
      <c r="A508" s="3" t="s">
        <v>1842</v>
      </c>
      <c r="B508" s="8" t="n">
        <v>46013</v>
      </c>
      <c r="C508" s="3" t="s">
        <v>1843</v>
      </c>
      <c r="D508" s="9"/>
      <c r="E508" s="9" t="n">
        <v>1727445.77</v>
      </c>
      <c r="F508" s="9" t="n">
        <f aca="false">F507+D508-E508</f>
        <v>104416779.23</v>
      </c>
    </row>
    <row r="509" customFormat="false" ht="15" hidden="false" customHeight="false" outlineLevel="0" collapsed="false">
      <c r="A509" s="3" t="s">
        <v>1844</v>
      </c>
      <c r="B509" s="8" t="n">
        <v>46013</v>
      </c>
      <c r="C509" s="3" t="s">
        <v>1191</v>
      </c>
      <c r="D509" s="9"/>
      <c r="E509" s="9" t="n">
        <v>214605.23</v>
      </c>
      <c r="F509" s="9" t="n">
        <f aca="false">F508+D509-E509</f>
        <v>104202174</v>
      </c>
    </row>
    <row r="510" customFormat="false" ht="15" hidden="false" customHeight="false" outlineLevel="0" collapsed="false">
      <c r="A510" s="3" t="s">
        <v>1845</v>
      </c>
      <c r="B510" s="8" t="n">
        <v>46013</v>
      </c>
      <c r="C510" s="3" t="s">
        <v>1189</v>
      </c>
      <c r="D510" s="9"/>
      <c r="E510" s="9" t="n">
        <v>620000</v>
      </c>
      <c r="F510" s="9" t="n">
        <f aca="false">F509+D510-E510</f>
        <v>103582174</v>
      </c>
    </row>
    <row r="511" customFormat="false" ht="15" hidden="false" customHeight="false" outlineLevel="0" collapsed="false">
      <c r="A511" s="3" t="s">
        <v>1846</v>
      </c>
      <c r="B511" s="8" t="n">
        <v>46016</v>
      </c>
      <c r="C511" s="3" t="s">
        <v>1847</v>
      </c>
      <c r="D511" s="9" t="n">
        <v>4927600</v>
      </c>
      <c r="E511" s="9"/>
      <c r="F511" s="9" t="n">
        <f aca="false">F510+D511-E511</f>
        <v>108509774</v>
      </c>
    </row>
    <row r="512" customFormat="false" ht="15" hidden="false" customHeight="false" outlineLevel="0" collapsed="false">
      <c r="A512" s="3" t="s">
        <v>1848</v>
      </c>
      <c r="B512" s="8" t="n">
        <v>46017</v>
      </c>
      <c r="C512" s="3" t="s">
        <v>1849</v>
      </c>
      <c r="D512" s="9" t="n">
        <v>5127200</v>
      </c>
      <c r="E512" s="9"/>
      <c r="F512" s="9" t="n">
        <f aca="false">F511+D512-E512</f>
        <v>113636974</v>
      </c>
    </row>
    <row r="513" customFormat="false" ht="15" hidden="false" customHeight="false" outlineLevel="0" collapsed="false">
      <c r="A513" s="3" t="s">
        <v>1850</v>
      </c>
      <c r="B513" s="8" t="n">
        <v>46017</v>
      </c>
      <c r="C513" s="3" t="s">
        <v>1143</v>
      </c>
      <c r="D513" s="9" t="n">
        <v>1893646.13</v>
      </c>
      <c r="E513" s="9"/>
      <c r="F513" s="9" t="n">
        <f aca="false">F512+D513-E513</f>
        <v>115530620.13</v>
      </c>
    </row>
    <row r="514" customFormat="false" ht="15" hidden="false" customHeight="false" outlineLevel="0" collapsed="false">
      <c r="A514" s="3" t="s">
        <v>1851</v>
      </c>
      <c r="B514" s="8" t="n">
        <v>46020</v>
      </c>
      <c r="C514" s="3" t="s">
        <v>1852</v>
      </c>
      <c r="D514" s="9" t="n">
        <v>4328300</v>
      </c>
      <c r="E514" s="9"/>
      <c r="F514" s="9" t="n">
        <f aca="false">F513+D514-E514</f>
        <v>119858920.13</v>
      </c>
    </row>
    <row r="515" customFormat="false" ht="15" hidden="false" customHeight="false" outlineLevel="0" collapsed="false">
      <c r="A515" s="3" t="s">
        <v>1853</v>
      </c>
      <c r="B515" s="8" t="n">
        <v>46020</v>
      </c>
      <c r="C515" s="3" t="s">
        <v>1854</v>
      </c>
      <c r="D515" s="9"/>
      <c r="E515" s="9" t="n">
        <v>4085300</v>
      </c>
      <c r="F515" s="9" t="n">
        <f aca="false">F514+D515-E515</f>
        <v>115773620.13</v>
      </c>
    </row>
    <row r="516" customFormat="false" ht="15" hidden="false" customHeight="false" outlineLevel="0" collapsed="false">
      <c r="A516" s="3" t="s">
        <v>1855</v>
      </c>
      <c r="B516" s="8" t="n">
        <v>46020</v>
      </c>
      <c r="C516" s="3" t="s">
        <v>1153</v>
      </c>
      <c r="D516" s="9"/>
      <c r="E516" s="9" t="n">
        <v>195613.23</v>
      </c>
      <c r="F516" s="9" t="n">
        <f aca="false">F515+D516-E516</f>
        <v>115578006.9</v>
      </c>
    </row>
    <row r="517" customFormat="false" ht="15" hidden="false" customHeight="false" outlineLevel="0" collapsed="false">
      <c r="A517" s="3" t="s">
        <v>1856</v>
      </c>
      <c r="B517" s="8" t="n">
        <v>46020</v>
      </c>
      <c r="C517" s="3" t="s">
        <v>1857</v>
      </c>
      <c r="D517" s="9"/>
      <c r="E517" s="9" t="n">
        <v>2450000</v>
      </c>
      <c r="F517" s="9" t="n">
        <f aca="false">F516+D517-E517</f>
        <v>113128006.9</v>
      </c>
    </row>
    <row r="518" customFormat="false" ht="15" hidden="false" customHeight="false" outlineLevel="0" collapsed="false">
      <c r="A518" s="3" t="s">
        <v>1858</v>
      </c>
      <c r="B518" s="8" t="n">
        <v>46021</v>
      </c>
      <c r="C518" s="3" t="s">
        <v>1859</v>
      </c>
      <c r="D518" s="9"/>
      <c r="E518" s="9" t="n">
        <v>780000</v>
      </c>
      <c r="F518" s="9" t="n">
        <f aca="false">F517+D518-E518</f>
        <v>112348006.9</v>
      </c>
    </row>
    <row r="519" customFormat="false" ht="15" hidden="false" customHeight="false" outlineLevel="0" collapsed="false">
      <c r="A519" s="3" t="s">
        <v>1860</v>
      </c>
      <c r="B519" s="8" t="n">
        <v>46021</v>
      </c>
      <c r="C519" s="3" t="s">
        <v>1861</v>
      </c>
      <c r="D519" s="9" t="n">
        <v>1860000</v>
      </c>
      <c r="E519" s="9"/>
      <c r="F519" s="9" t="n">
        <f aca="false">F518+D519-E519</f>
        <v>114208006.9</v>
      </c>
    </row>
    <row r="520" customFormat="false" ht="15" hidden="false" customHeight="false" outlineLevel="0" collapsed="false">
      <c r="A520" s="3" t="s">
        <v>1862</v>
      </c>
      <c r="B520" s="8" t="n">
        <v>46022</v>
      </c>
      <c r="C520" s="3" t="s">
        <v>1863</v>
      </c>
      <c r="D520" s="9"/>
      <c r="E520" s="9" t="n">
        <v>325000</v>
      </c>
      <c r="F520" s="9" t="n">
        <f aca="false">F519+D520-E520</f>
        <v>113883006.9</v>
      </c>
    </row>
    <row r="521" customFormat="false" ht="15" hidden="false" customHeight="false" outlineLevel="0" collapsed="false">
      <c r="A521" s="3" t="s">
        <v>1864</v>
      </c>
      <c r="B521" s="8" t="n">
        <v>46022</v>
      </c>
      <c r="C521" s="3" t="s">
        <v>1865</v>
      </c>
      <c r="D521" s="9"/>
      <c r="E521" s="9" t="n">
        <v>1150000</v>
      </c>
      <c r="F521" s="9" t="n">
        <f aca="false">F520+D521-E521</f>
        <v>112733006.9</v>
      </c>
    </row>
    <row r="522" customFormat="false" ht="15" hidden="false" customHeight="false" outlineLevel="0" collapsed="false">
      <c r="A522" s="3" t="s">
        <v>1866</v>
      </c>
      <c r="B522" s="8" t="n">
        <v>46022</v>
      </c>
      <c r="C522" s="3" t="s">
        <v>1867</v>
      </c>
      <c r="D522" s="9" t="n">
        <v>3400000</v>
      </c>
      <c r="E522" s="9"/>
      <c r="F522" s="9" t="n">
        <f aca="false">F521+D522-E522</f>
        <v>116133006.9</v>
      </c>
    </row>
    <row r="523" customFormat="false" ht="15" hidden="false" customHeight="false" outlineLevel="0" collapsed="false">
      <c r="A523" s="3" t="s">
        <v>1868</v>
      </c>
      <c r="B523" s="8" t="n">
        <v>46022</v>
      </c>
      <c r="C523" s="3" t="s">
        <v>1869</v>
      </c>
      <c r="D523" s="9" t="n">
        <v>940000</v>
      </c>
      <c r="E523" s="9"/>
      <c r="F523" s="9" t="n">
        <f aca="false">F522+D523-E523</f>
        <v>117073006.9</v>
      </c>
    </row>
    <row r="525" customFormat="false" ht="15" hidden="false" customHeight="false" outlineLevel="0" collapsed="false">
      <c r="C525" s="2" t="s">
        <v>1123</v>
      </c>
      <c r="D525" s="6" t="n">
        <f aca="false">SUM(D6:D523)</f>
        <v>450625991.65</v>
      </c>
      <c r="E525" s="6" t="n">
        <f aca="false">SUM(E6:E523)</f>
        <v>346052984.75</v>
      </c>
      <c r="F525" s="6" t="n">
        <f aca="false">F523</f>
        <v>117073006.9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7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56"/>
    <col collapsed="false" customWidth="true" hidden="false" outlineLevel="0" max="6" min="5" style="0" width="15"/>
    <col collapsed="false" customWidth="true" hidden="false" outlineLevel="0" max="7" min="7" style="0" width="16"/>
    <col collapsed="false" customWidth="true" hidden="false" outlineLevel="0" max="8" min="8" style="0" width="8"/>
    <col collapsed="false" customWidth="true" hidden="false" outlineLevel="0" max="9" min="9" style="0" width="34"/>
    <col collapsed="false" customWidth="true" hidden="false" outlineLevel="0" max="10" min="10" style="0" width="16"/>
    <col collapsed="false" customWidth="true" hidden="false" outlineLevel="0" max="11" min="11" style="0" width="11"/>
    <col collapsed="false" customWidth="true" hidden="false" outlineLevel="0" max="12" min="12" style="0" width="20"/>
    <col collapsed="false" customWidth="true" hidden="false" outlineLevel="0" max="13" min="13" style="0" width="14"/>
    <col collapsed="false" customWidth="true" hidden="false" outlineLevel="0" max="14" min="14" style="0" width="70"/>
  </cols>
  <sheetData>
    <row r="1" customFormat="false" ht="17.35" hidden="false" customHeight="false" outlineLevel="0" collapsed="false">
      <c r="A1" s="1" t="s">
        <v>1870</v>
      </c>
    </row>
    <row r="2" customFormat="false" ht="15" hidden="false" customHeight="false" outlineLevel="0" collapsed="false">
      <c r="A2" s="10" t="s">
        <v>1871</v>
      </c>
    </row>
    <row r="4" customFormat="false" ht="30" hidden="false" customHeight="true" outlineLevel="0" collapsed="false">
      <c r="A4" s="7" t="s">
        <v>41</v>
      </c>
      <c r="B4" s="7" t="s">
        <v>1128</v>
      </c>
      <c r="C4" s="7" t="s">
        <v>44</v>
      </c>
      <c r="D4" s="7" t="s">
        <v>45</v>
      </c>
      <c r="E4" s="7" t="s">
        <v>1872</v>
      </c>
      <c r="F4" s="7" t="s">
        <v>1873</v>
      </c>
      <c r="G4" s="7" t="s">
        <v>1874</v>
      </c>
      <c r="H4" s="7" t="s">
        <v>1875</v>
      </c>
      <c r="I4" s="7" t="s">
        <v>1876</v>
      </c>
      <c r="J4" s="7" t="s">
        <v>1877</v>
      </c>
      <c r="K4" s="7" t="s">
        <v>1878</v>
      </c>
      <c r="L4" s="7" t="s">
        <v>1879</v>
      </c>
      <c r="M4" s="7" t="s">
        <v>1880</v>
      </c>
      <c r="N4" s="7" t="s">
        <v>1881</v>
      </c>
    </row>
    <row r="5" customFormat="false" ht="15" hidden="false" customHeight="false" outlineLevel="0" collapsed="false">
      <c r="A5" s="3" t="n">
        <v>1</v>
      </c>
      <c r="B5" s="8" t="n">
        <v>45659</v>
      </c>
      <c r="C5" s="3" t="s">
        <v>49</v>
      </c>
      <c r="D5" s="3" t="s">
        <v>50</v>
      </c>
      <c r="E5" s="9"/>
      <c r="F5" s="9" t="n">
        <v>2086200</v>
      </c>
      <c r="G5" s="9" t="n">
        <f aca="false">N(F5)-N(E5)</f>
        <v>2086200</v>
      </c>
      <c r="H5" s="3" t="n">
        <f aca="false">MONTH(B5)</f>
        <v>1</v>
      </c>
      <c r="I5" s="3" t="s">
        <v>1882</v>
      </c>
      <c r="J5" s="3" t="s">
        <v>1883</v>
      </c>
      <c r="K5" s="3" t="s">
        <v>1884</v>
      </c>
      <c r="L5" s="3" t="s">
        <v>1885</v>
      </c>
      <c r="M5" s="3" t="s">
        <v>1132</v>
      </c>
      <c r="N5" s="11"/>
    </row>
    <row r="6" customFormat="false" ht="15" hidden="false" customHeight="false" outlineLevel="0" collapsed="false">
      <c r="A6" s="3" t="n">
        <v>2</v>
      </c>
      <c r="B6" s="8" t="n">
        <v>45663</v>
      </c>
      <c r="C6" s="3" t="s">
        <v>51</v>
      </c>
      <c r="D6" s="3" t="s">
        <v>52</v>
      </c>
      <c r="E6" s="9"/>
      <c r="F6" s="9" t="n">
        <v>3096700</v>
      </c>
      <c r="G6" s="9" t="n">
        <f aca="false">N(F6)-N(E6)</f>
        <v>3096700</v>
      </c>
      <c r="H6" s="3" t="n">
        <f aca="false">MONTH(B6)</f>
        <v>1</v>
      </c>
      <c r="I6" s="3" t="s">
        <v>1882</v>
      </c>
      <c r="J6" s="3" t="s">
        <v>1883</v>
      </c>
      <c r="K6" s="3" t="s">
        <v>1884</v>
      </c>
      <c r="L6" s="3" t="s">
        <v>1885</v>
      </c>
      <c r="M6" s="3" t="s">
        <v>1140</v>
      </c>
      <c r="N6" s="11"/>
    </row>
    <row r="7" customFormat="false" ht="15" hidden="false" customHeight="false" outlineLevel="0" collapsed="false">
      <c r="A7" s="3" t="n">
        <v>3</v>
      </c>
      <c r="B7" s="8" t="n">
        <v>45663</v>
      </c>
      <c r="C7" s="3" t="s">
        <v>53</v>
      </c>
      <c r="D7" s="3" t="s">
        <v>54</v>
      </c>
      <c r="E7" s="9"/>
      <c r="F7" s="9" t="n">
        <v>2234000</v>
      </c>
      <c r="G7" s="9" t="n">
        <f aca="false">N(F7)-N(E7)</f>
        <v>2234000</v>
      </c>
      <c r="H7" s="3" t="n">
        <f aca="false">MONTH(B7)</f>
        <v>1</v>
      </c>
      <c r="I7" s="3" t="s">
        <v>1882</v>
      </c>
      <c r="J7" s="3" t="s">
        <v>1883</v>
      </c>
      <c r="K7" s="3" t="s">
        <v>1884</v>
      </c>
      <c r="L7" s="3" t="s">
        <v>1885</v>
      </c>
      <c r="M7" s="3" t="s">
        <v>1136</v>
      </c>
      <c r="N7" s="11"/>
    </row>
    <row r="8" customFormat="false" ht="15" hidden="false" customHeight="false" outlineLevel="0" collapsed="false">
      <c r="A8" s="3" t="n">
        <v>4</v>
      </c>
      <c r="B8" s="8" t="n">
        <v>45663</v>
      </c>
      <c r="C8" s="3" t="s">
        <v>55</v>
      </c>
      <c r="D8" s="3" t="s">
        <v>56</v>
      </c>
      <c r="E8" s="9"/>
      <c r="F8" s="9" t="n">
        <v>3586300</v>
      </c>
      <c r="G8" s="9" t="n">
        <f aca="false">N(F8)-N(E8)</f>
        <v>3586300</v>
      </c>
      <c r="H8" s="3" t="n">
        <f aca="false">MONTH(B8)</f>
        <v>1</v>
      </c>
      <c r="I8" s="3" t="s">
        <v>1882</v>
      </c>
      <c r="J8" s="3" t="s">
        <v>1883</v>
      </c>
      <c r="K8" s="3" t="s">
        <v>1884</v>
      </c>
      <c r="L8" s="3" t="s">
        <v>1885</v>
      </c>
      <c r="M8" s="3" t="s">
        <v>1138</v>
      </c>
      <c r="N8" s="11"/>
    </row>
    <row r="9" customFormat="false" ht="15" hidden="false" customHeight="false" outlineLevel="0" collapsed="false">
      <c r="A9" s="3" t="n">
        <v>5</v>
      </c>
      <c r="B9" s="8" t="n">
        <v>45663</v>
      </c>
      <c r="C9" s="3" t="s">
        <v>57</v>
      </c>
      <c r="D9" s="3" t="s">
        <v>58</v>
      </c>
      <c r="E9" s="9"/>
      <c r="F9" s="9" t="n">
        <v>1564104.23</v>
      </c>
      <c r="G9" s="9" t="n">
        <f aca="false">N(F9)-N(E9)</f>
        <v>1564104.23</v>
      </c>
      <c r="H9" s="3" t="n">
        <f aca="false">MONTH(B9)</f>
        <v>1</v>
      </c>
      <c r="I9" s="3" t="s">
        <v>1886</v>
      </c>
      <c r="J9" s="3" t="s">
        <v>1883</v>
      </c>
      <c r="K9" s="3" t="s">
        <v>1884</v>
      </c>
      <c r="L9" s="3" t="s">
        <v>1885</v>
      </c>
      <c r="M9" s="3" t="s">
        <v>1142</v>
      </c>
      <c r="N9" s="11" t="s">
        <v>1887</v>
      </c>
    </row>
    <row r="10" customFormat="false" ht="15" hidden="false" customHeight="false" outlineLevel="0" collapsed="false">
      <c r="A10" s="3" t="n">
        <v>6</v>
      </c>
      <c r="B10" s="8" t="n">
        <v>45663</v>
      </c>
      <c r="C10" s="3" t="s">
        <v>59</v>
      </c>
      <c r="D10" s="3" t="s">
        <v>60</v>
      </c>
      <c r="E10" s="9" t="n">
        <v>85000</v>
      </c>
      <c r="F10" s="9"/>
      <c r="G10" s="9" t="n">
        <f aca="false">N(F10)-N(E10)</f>
        <v>-85000</v>
      </c>
      <c r="H10" s="3" t="n">
        <f aca="false">MONTH(B10)</f>
        <v>1</v>
      </c>
      <c r="I10" s="3" t="s">
        <v>1888</v>
      </c>
      <c r="J10" s="3" t="s">
        <v>1883</v>
      </c>
      <c r="K10" s="3" t="s">
        <v>1884</v>
      </c>
      <c r="L10" s="3" t="s">
        <v>1885</v>
      </c>
      <c r="M10" s="3" t="s">
        <v>1144</v>
      </c>
      <c r="N10" s="11"/>
    </row>
    <row r="11" customFormat="false" ht="15" hidden="false" customHeight="false" outlineLevel="0" collapsed="false">
      <c r="A11" s="3" t="n">
        <v>7</v>
      </c>
      <c r="B11" s="8" t="n">
        <v>45663</v>
      </c>
      <c r="C11" s="3" t="s">
        <v>61</v>
      </c>
      <c r="D11" s="3" t="s">
        <v>62</v>
      </c>
      <c r="E11" s="9" t="n">
        <v>7200000</v>
      </c>
      <c r="F11" s="9"/>
      <c r="G11" s="9" t="n">
        <f aca="false">N(F11)-N(E11)</f>
        <v>-7200000</v>
      </c>
      <c r="H11" s="3" t="n">
        <f aca="false">MONTH(B11)</f>
        <v>1</v>
      </c>
      <c r="I11" s="3" t="s">
        <v>1889</v>
      </c>
      <c r="J11" s="3" t="s">
        <v>1883</v>
      </c>
      <c r="K11" s="3" t="s">
        <v>1884</v>
      </c>
      <c r="L11" s="3" t="s">
        <v>1885</v>
      </c>
      <c r="M11" s="3" t="s">
        <v>1134</v>
      </c>
      <c r="N11" s="11" t="s">
        <v>1890</v>
      </c>
    </row>
    <row r="12" customFormat="false" ht="15" hidden="false" customHeight="false" outlineLevel="0" collapsed="false">
      <c r="A12" s="3" t="n">
        <v>8</v>
      </c>
      <c r="B12" s="8" t="n">
        <v>45665</v>
      </c>
      <c r="C12" s="3" t="s">
        <v>63</v>
      </c>
      <c r="D12" s="3" t="s">
        <v>64</v>
      </c>
      <c r="E12" s="9"/>
      <c r="F12" s="9" t="n">
        <v>1486100</v>
      </c>
      <c r="G12" s="9" t="n">
        <f aca="false">N(F12)-N(E12)</f>
        <v>1486100</v>
      </c>
      <c r="H12" s="3" t="n">
        <f aca="false">MONTH(B12)</f>
        <v>1</v>
      </c>
      <c r="I12" s="3" t="s">
        <v>1882</v>
      </c>
      <c r="J12" s="3" t="s">
        <v>1883</v>
      </c>
      <c r="K12" s="3" t="s">
        <v>1884</v>
      </c>
      <c r="L12" s="3" t="s">
        <v>1885</v>
      </c>
      <c r="M12" s="3" t="s">
        <v>1146</v>
      </c>
      <c r="N12" s="11"/>
    </row>
    <row r="13" customFormat="false" ht="15" hidden="false" customHeight="false" outlineLevel="0" collapsed="false">
      <c r="A13" s="3" t="n">
        <v>9</v>
      </c>
      <c r="B13" s="8" t="n">
        <v>45665</v>
      </c>
      <c r="C13" s="3" t="s">
        <v>65</v>
      </c>
      <c r="D13" s="3" t="s">
        <v>66</v>
      </c>
      <c r="E13" s="9" t="n">
        <v>1500000</v>
      </c>
      <c r="F13" s="9"/>
      <c r="G13" s="9" t="n">
        <f aca="false">N(F13)-N(E13)</f>
        <v>-1500000</v>
      </c>
      <c r="H13" s="3" t="n">
        <f aca="false">MONTH(B13)</f>
        <v>1</v>
      </c>
      <c r="I13" s="3" t="s">
        <v>1889</v>
      </c>
      <c r="J13" s="3" t="s">
        <v>1883</v>
      </c>
      <c r="K13" s="3" t="s">
        <v>1884</v>
      </c>
      <c r="L13" s="3" t="s">
        <v>1885</v>
      </c>
      <c r="M13" s="3" t="s">
        <v>1148</v>
      </c>
      <c r="N13" s="11"/>
    </row>
    <row r="14" customFormat="false" ht="15" hidden="false" customHeight="false" outlineLevel="0" collapsed="false">
      <c r="A14" s="3" t="n">
        <v>10</v>
      </c>
      <c r="B14" s="8" t="n">
        <v>45666</v>
      </c>
      <c r="C14" s="3" t="s">
        <v>67</v>
      </c>
      <c r="D14" s="3" t="s">
        <v>68</v>
      </c>
      <c r="E14" s="9"/>
      <c r="F14" s="9" t="n">
        <v>780536.26</v>
      </c>
      <c r="G14" s="9" t="n">
        <f aca="false">N(F14)-N(E14)</f>
        <v>780536.26</v>
      </c>
      <c r="H14" s="3" t="n">
        <f aca="false">MONTH(B14)</f>
        <v>1</v>
      </c>
      <c r="I14" s="3" t="s">
        <v>1891</v>
      </c>
      <c r="J14" s="3" t="s">
        <v>1883</v>
      </c>
      <c r="K14" s="3" t="s">
        <v>1884</v>
      </c>
      <c r="L14" s="3" t="s">
        <v>1885</v>
      </c>
      <c r="M14" s="3" t="s">
        <v>1150</v>
      </c>
      <c r="N14" s="11" t="s">
        <v>1892</v>
      </c>
    </row>
    <row r="15" customFormat="false" ht="15" hidden="false" customHeight="false" outlineLevel="0" collapsed="false">
      <c r="A15" s="3" t="n">
        <v>11</v>
      </c>
      <c r="B15" s="8" t="n">
        <v>45666</v>
      </c>
      <c r="C15" s="3" t="s">
        <v>69</v>
      </c>
      <c r="D15" s="3" t="s">
        <v>70</v>
      </c>
      <c r="E15" s="9" t="n">
        <v>323833.15</v>
      </c>
      <c r="F15" s="9"/>
      <c r="G15" s="9" t="n">
        <f aca="false">N(F15)-N(E15)</f>
        <v>-323833.15</v>
      </c>
      <c r="H15" s="3" t="n">
        <f aca="false">MONTH(B15)</f>
        <v>1</v>
      </c>
      <c r="I15" s="3" t="s">
        <v>1893</v>
      </c>
      <c r="J15" s="3" t="s">
        <v>1883</v>
      </c>
      <c r="K15" s="3" t="s">
        <v>1884</v>
      </c>
      <c r="L15" s="3" t="s">
        <v>1885</v>
      </c>
      <c r="M15" s="3" t="s">
        <v>1152</v>
      </c>
      <c r="N15" s="11" t="s">
        <v>1894</v>
      </c>
    </row>
    <row r="16" customFormat="false" ht="15" hidden="false" customHeight="false" outlineLevel="0" collapsed="false">
      <c r="A16" s="12" t="n">
        <v>12</v>
      </c>
      <c r="B16" s="13" t="n">
        <v>45667</v>
      </c>
      <c r="C16" s="12" t="s">
        <v>71</v>
      </c>
      <c r="D16" s="12" t="s">
        <v>72</v>
      </c>
      <c r="E16" s="14"/>
      <c r="F16" s="14" t="n">
        <v>816396.53</v>
      </c>
      <c r="G16" s="14" t="n">
        <f aca="false">N(F16)-N(E16)</f>
        <v>816396.53</v>
      </c>
      <c r="H16" s="12" t="n">
        <f aca="false">MONTH(B16)</f>
        <v>1</v>
      </c>
      <c r="I16" s="12" t="s">
        <v>1895</v>
      </c>
      <c r="J16" s="12" t="s">
        <v>1883</v>
      </c>
      <c r="K16" s="12" t="s">
        <v>1896</v>
      </c>
      <c r="L16" s="12" t="s">
        <v>1885</v>
      </c>
      <c r="M16" s="12" t="s">
        <v>1156</v>
      </c>
      <c r="N16" s="15" t="s">
        <v>1897</v>
      </c>
    </row>
    <row r="17" customFormat="false" ht="15" hidden="false" customHeight="false" outlineLevel="0" collapsed="false">
      <c r="A17" s="3" t="n">
        <v>13</v>
      </c>
      <c r="B17" s="8" t="n">
        <v>45667</v>
      </c>
      <c r="C17" s="3" t="s">
        <v>73</v>
      </c>
      <c r="D17" s="3" t="s">
        <v>74</v>
      </c>
      <c r="E17" s="9" t="n">
        <v>450800</v>
      </c>
      <c r="F17" s="9"/>
      <c r="G17" s="9" t="n">
        <f aca="false">N(F17)-N(E17)</f>
        <v>-450800</v>
      </c>
      <c r="H17" s="3" t="n">
        <f aca="false">MONTH(B17)</f>
        <v>1</v>
      </c>
      <c r="I17" s="3" t="s">
        <v>1898</v>
      </c>
      <c r="J17" s="3" t="s">
        <v>1883</v>
      </c>
      <c r="K17" s="3" t="s">
        <v>1884</v>
      </c>
      <c r="L17" s="3" t="s">
        <v>1885</v>
      </c>
      <c r="M17" s="3" t="s">
        <v>1158</v>
      </c>
      <c r="N17" s="11"/>
    </row>
    <row r="18" customFormat="false" ht="15" hidden="false" customHeight="false" outlineLevel="0" collapsed="false">
      <c r="A18" s="3" t="n">
        <v>14</v>
      </c>
      <c r="B18" s="8" t="n">
        <v>45670</v>
      </c>
      <c r="C18" s="3" t="s">
        <v>75</v>
      </c>
      <c r="D18" s="3" t="s">
        <v>76</v>
      </c>
      <c r="E18" s="9"/>
      <c r="F18" s="9" t="n">
        <v>2632600</v>
      </c>
      <c r="G18" s="9" t="n">
        <f aca="false">N(F18)-N(E18)</f>
        <v>2632600</v>
      </c>
      <c r="H18" s="3" t="n">
        <f aca="false">MONTH(B18)</f>
        <v>1</v>
      </c>
      <c r="I18" s="3" t="s">
        <v>1882</v>
      </c>
      <c r="J18" s="3" t="s">
        <v>1883</v>
      </c>
      <c r="K18" s="3" t="s">
        <v>1884</v>
      </c>
      <c r="L18" s="3" t="s">
        <v>1885</v>
      </c>
      <c r="M18" s="3" t="s">
        <v>1154</v>
      </c>
      <c r="N18" s="11"/>
    </row>
    <row r="19" customFormat="false" ht="15" hidden="false" customHeight="false" outlineLevel="0" collapsed="false">
      <c r="A19" s="3" t="n">
        <v>15</v>
      </c>
      <c r="B19" s="8" t="n">
        <v>45670</v>
      </c>
      <c r="C19" s="3" t="s">
        <v>77</v>
      </c>
      <c r="D19" s="3" t="s">
        <v>78</v>
      </c>
      <c r="E19" s="9"/>
      <c r="F19" s="9" t="n">
        <v>670841.79</v>
      </c>
      <c r="G19" s="9" t="n">
        <f aca="false">N(F19)-N(E19)</f>
        <v>670841.79</v>
      </c>
      <c r="H19" s="3" t="n">
        <f aca="false">MONTH(B19)</f>
        <v>1</v>
      </c>
      <c r="I19" s="3" t="s">
        <v>1886</v>
      </c>
      <c r="J19" s="3" t="s">
        <v>1883</v>
      </c>
      <c r="K19" s="3" t="s">
        <v>1884</v>
      </c>
      <c r="L19" s="3" t="s">
        <v>1885</v>
      </c>
      <c r="M19" s="3" t="s">
        <v>1163</v>
      </c>
      <c r="N19" s="11" t="s">
        <v>1887</v>
      </c>
    </row>
    <row r="20" customFormat="false" ht="15" hidden="false" customHeight="false" outlineLevel="0" collapsed="false">
      <c r="A20" s="3" t="n">
        <v>16</v>
      </c>
      <c r="B20" s="8" t="n">
        <v>45670</v>
      </c>
      <c r="C20" s="3" t="s">
        <v>79</v>
      </c>
      <c r="D20" s="3" t="s">
        <v>80</v>
      </c>
      <c r="E20" s="9" t="n">
        <v>1160500</v>
      </c>
      <c r="F20" s="9"/>
      <c r="G20" s="9" t="n">
        <f aca="false">N(F20)-N(E20)</f>
        <v>-1160500</v>
      </c>
      <c r="H20" s="3" t="n">
        <f aca="false">MONTH(B20)</f>
        <v>1</v>
      </c>
      <c r="I20" s="3" t="s">
        <v>1899</v>
      </c>
      <c r="J20" s="3" t="s">
        <v>1883</v>
      </c>
      <c r="K20" s="3" t="s">
        <v>1884</v>
      </c>
      <c r="L20" s="3" t="s">
        <v>1885</v>
      </c>
      <c r="M20" s="3" t="s">
        <v>1164</v>
      </c>
      <c r="N20" s="11"/>
    </row>
    <row r="21" customFormat="false" ht="15" hidden="false" customHeight="false" outlineLevel="0" collapsed="false">
      <c r="A21" s="3" t="n">
        <v>17</v>
      </c>
      <c r="B21" s="8" t="n">
        <v>45670</v>
      </c>
      <c r="C21" s="3" t="s">
        <v>81</v>
      </c>
      <c r="D21" s="3" t="s">
        <v>82</v>
      </c>
      <c r="E21" s="9" t="n">
        <v>1951500</v>
      </c>
      <c r="F21" s="9"/>
      <c r="G21" s="9" t="n">
        <f aca="false">N(F21)-N(E21)</f>
        <v>-1951500</v>
      </c>
      <c r="H21" s="3" t="n">
        <f aca="false">MONTH(B21)</f>
        <v>1</v>
      </c>
      <c r="I21" s="3" t="s">
        <v>1899</v>
      </c>
      <c r="J21" s="3" t="s">
        <v>1883</v>
      </c>
      <c r="K21" s="3" t="s">
        <v>1884</v>
      </c>
      <c r="L21" s="3" t="s">
        <v>1885</v>
      </c>
      <c r="M21" s="3" t="s">
        <v>1166</v>
      </c>
      <c r="N21" s="11"/>
    </row>
    <row r="22" customFormat="false" ht="15" hidden="false" customHeight="false" outlineLevel="0" collapsed="false">
      <c r="A22" s="3" t="n">
        <v>18</v>
      </c>
      <c r="B22" s="8" t="n">
        <v>45670</v>
      </c>
      <c r="C22" s="3" t="s">
        <v>83</v>
      </c>
      <c r="D22" s="3" t="s">
        <v>84</v>
      </c>
      <c r="E22" s="9" t="n">
        <v>284264.14</v>
      </c>
      <c r="F22" s="9"/>
      <c r="G22" s="9" t="n">
        <f aca="false">N(F22)-N(E22)</f>
        <v>-284264.14</v>
      </c>
      <c r="H22" s="3" t="n">
        <f aca="false">MONTH(B22)</f>
        <v>1</v>
      </c>
      <c r="I22" s="3" t="s">
        <v>1893</v>
      </c>
      <c r="J22" s="3" t="s">
        <v>1883</v>
      </c>
      <c r="K22" s="3" t="s">
        <v>1884</v>
      </c>
      <c r="L22" s="3" t="s">
        <v>1885</v>
      </c>
      <c r="M22" s="3" t="s">
        <v>1160</v>
      </c>
      <c r="N22" s="11" t="s">
        <v>1894</v>
      </c>
    </row>
    <row r="23" customFormat="false" ht="15" hidden="false" customHeight="false" outlineLevel="0" collapsed="false">
      <c r="A23" s="3" t="n">
        <v>19</v>
      </c>
      <c r="B23" s="8" t="n">
        <v>45670</v>
      </c>
      <c r="C23" s="3" t="s">
        <v>85</v>
      </c>
      <c r="D23" s="3" t="s">
        <v>86</v>
      </c>
      <c r="E23" s="9" t="n">
        <v>199288.34</v>
      </c>
      <c r="F23" s="9"/>
      <c r="G23" s="9" t="n">
        <f aca="false">N(F23)-N(E23)</f>
        <v>-199288.34</v>
      </c>
      <c r="H23" s="3" t="n">
        <f aca="false">MONTH(B23)</f>
        <v>1</v>
      </c>
      <c r="I23" s="3" t="s">
        <v>1900</v>
      </c>
      <c r="J23" s="3" t="s">
        <v>1883</v>
      </c>
      <c r="K23" s="3" t="s">
        <v>1884</v>
      </c>
      <c r="L23" s="3" t="s">
        <v>1885</v>
      </c>
      <c r="M23" s="3" t="s">
        <v>1167</v>
      </c>
      <c r="N23" s="11"/>
    </row>
    <row r="24" customFormat="false" ht="15" hidden="false" customHeight="false" outlineLevel="0" collapsed="false">
      <c r="A24" s="3" t="n">
        <v>20</v>
      </c>
      <c r="B24" s="8" t="n">
        <v>45671</v>
      </c>
      <c r="C24" s="3" t="s">
        <v>87</v>
      </c>
      <c r="D24" s="3" t="s">
        <v>88</v>
      </c>
      <c r="E24" s="9"/>
      <c r="F24" s="9" t="n">
        <v>2195200</v>
      </c>
      <c r="G24" s="9" t="n">
        <f aca="false">N(F24)-N(E24)</f>
        <v>2195200</v>
      </c>
      <c r="H24" s="3" t="n">
        <f aca="false">MONTH(B24)</f>
        <v>1</v>
      </c>
      <c r="I24" s="3" t="s">
        <v>1882</v>
      </c>
      <c r="J24" s="3" t="s">
        <v>1883</v>
      </c>
      <c r="K24" s="3" t="s">
        <v>1884</v>
      </c>
      <c r="L24" s="3" t="s">
        <v>1885</v>
      </c>
      <c r="M24" s="3" t="s">
        <v>1169</v>
      </c>
      <c r="N24" s="11"/>
    </row>
    <row r="25" customFormat="false" ht="15" hidden="false" customHeight="false" outlineLevel="0" collapsed="false">
      <c r="A25" s="3" t="n">
        <v>21</v>
      </c>
      <c r="B25" s="8" t="n">
        <v>45671</v>
      </c>
      <c r="C25" s="3" t="s">
        <v>89</v>
      </c>
      <c r="D25" s="3" t="s">
        <v>90</v>
      </c>
      <c r="E25" s="9" t="n">
        <v>969100</v>
      </c>
      <c r="F25" s="9"/>
      <c r="G25" s="9" t="n">
        <f aca="false">N(F25)-N(E25)</f>
        <v>-969100</v>
      </c>
      <c r="H25" s="3" t="n">
        <f aca="false">MONTH(B25)</f>
        <v>1</v>
      </c>
      <c r="I25" s="3" t="s">
        <v>1899</v>
      </c>
      <c r="J25" s="3" t="s">
        <v>1883</v>
      </c>
      <c r="K25" s="3" t="s">
        <v>1884</v>
      </c>
      <c r="L25" s="3" t="s">
        <v>1885</v>
      </c>
      <c r="M25" s="3" t="s">
        <v>1171</v>
      </c>
      <c r="N25" s="11"/>
    </row>
    <row r="26" customFormat="false" ht="15" hidden="false" customHeight="false" outlineLevel="0" collapsed="false">
      <c r="A26" s="3" t="n">
        <v>22</v>
      </c>
      <c r="B26" s="8" t="n">
        <v>45671</v>
      </c>
      <c r="C26" s="3" t="s">
        <v>91</v>
      </c>
      <c r="D26" s="3" t="s">
        <v>92</v>
      </c>
      <c r="E26" s="9" t="n">
        <v>2830300</v>
      </c>
      <c r="F26" s="9"/>
      <c r="G26" s="9" t="n">
        <f aca="false">N(F26)-N(E26)</f>
        <v>-2830300</v>
      </c>
      <c r="H26" s="3" t="n">
        <f aca="false">MONTH(B26)</f>
        <v>1</v>
      </c>
      <c r="I26" s="3" t="s">
        <v>1899</v>
      </c>
      <c r="J26" s="3" t="s">
        <v>1883</v>
      </c>
      <c r="K26" s="3" t="s">
        <v>1884</v>
      </c>
      <c r="L26" s="3" t="s">
        <v>1885</v>
      </c>
      <c r="M26" s="3" t="s">
        <v>1173</v>
      </c>
      <c r="N26" s="11"/>
    </row>
    <row r="27" customFormat="false" ht="15" hidden="false" customHeight="false" outlineLevel="0" collapsed="false">
      <c r="A27" s="3" t="n">
        <v>23</v>
      </c>
      <c r="B27" s="8" t="n">
        <v>45671</v>
      </c>
      <c r="C27" s="3" t="s">
        <v>93</v>
      </c>
      <c r="D27" s="3" t="s">
        <v>94</v>
      </c>
      <c r="E27" s="9" t="n">
        <v>209769.68</v>
      </c>
      <c r="F27" s="9"/>
      <c r="G27" s="9" t="n">
        <f aca="false">N(F27)-N(E27)</f>
        <v>-209769.68</v>
      </c>
      <c r="H27" s="3" t="n">
        <f aca="false">MONTH(B27)</f>
        <v>1</v>
      </c>
      <c r="I27" s="3" t="s">
        <v>1901</v>
      </c>
      <c r="J27" s="3" t="s">
        <v>1883</v>
      </c>
      <c r="K27" s="3" t="s">
        <v>1884</v>
      </c>
      <c r="L27" s="3" t="s">
        <v>1885</v>
      </c>
      <c r="M27" s="3" t="s">
        <v>1175</v>
      </c>
      <c r="N27" s="11" t="s">
        <v>1902</v>
      </c>
    </row>
    <row r="28" customFormat="false" ht="15" hidden="false" customHeight="false" outlineLevel="0" collapsed="false">
      <c r="A28" s="12" t="n">
        <v>24</v>
      </c>
      <c r="B28" s="13" t="n">
        <v>45672</v>
      </c>
      <c r="C28" s="12" t="s">
        <v>95</v>
      </c>
      <c r="D28" s="12" t="s">
        <v>96</v>
      </c>
      <c r="E28" s="14"/>
      <c r="F28" s="14" t="n">
        <v>1335545</v>
      </c>
      <c r="G28" s="14" t="n">
        <f aca="false">N(F28)-N(E28)</f>
        <v>1335545</v>
      </c>
      <c r="H28" s="12" t="n">
        <f aca="false">MONTH(B28)</f>
        <v>1</v>
      </c>
      <c r="I28" s="12" t="s">
        <v>1895</v>
      </c>
      <c r="J28" s="12" t="s">
        <v>1883</v>
      </c>
      <c r="K28" s="12" t="s">
        <v>1896</v>
      </c>
      <c r="L28" s="12" t="s">
        <v>1885</v>
      </c>
      <c r="M28" s="12" t="s">
        <v>1177</v>
      </c>
      <c r="N28" s="15" t="s">
        <v>1897</v>
      </c>
    </row>
    <row r="29" customFormat="false" ht="15" hidden="false" customHeight="false" outlineLevel="0" collapsed="false">
      <c r="A29" s="3" t="n">
        <v>25</v>
      </c>
      <c r="B29" s="8" t="n">
        <v>45672</v>
      </c>
      <c r="C29" s="3" t="s">
        <v>97</v>
      </c>
      <c r="D29" s="3" t="s">
        <v>98</v>
      </c>
      <c r="E29" s="9" t="n">
        <v>828000</v>
      </c>
      <c r="F29" s="9"/>
      <c r="G29" s="9" t="n">
        <f aca="false">N(F29)-N(E29)</f>
        <v>-828000</v>
      </c>
      <c r="H29" s="3" t="n">
        <f aca="false">MONTH(B29)</f>
        <v>1</v>
      </c>
      <c r="I29" s="3" t="s">
        <v>1903</v>
      </c>
      <c r="J29" s="3" t="s">
        <v>1883</v>
      </c>
      <c r="K29" s="3" t="s">
        <v>1884</v>
      </c>
      <c r="L29" s="3" t="s">
        <v>1885</v>
      </c>
      <c r="M29" s="3" t="s">
        <v>1161</v>
      </c>
      <c r="N29" s="11"/>
    </row>
    <row r="30" customFormat="false" ht="15" hidden="false" customHeight="false" outlineLevel="0" collapsed="false">
      <c r="A30" s="3" t="n">
        <v>26</v>
      </c>
      <c r="B30" s="8" t="n">
        <v>45677</v>
      </c>
      <c r="C30" s="3" t="s">
        <v>99</v>
      </c>
      <c r="D30" s="3" t="s">
        <v>100</v>
      </c>
      <c r="E30" s="9"/>
      <c r="F30" s="9" t="n">
        <v>1539349.64</v>
      </c>
      <c r="G30" s="9" t="n">
        <f aca="false">N(F30)-N(E30)</f>
        <v>1539349.64</v>
      </c>
      <c r="H30" s="3" t="n">
        <f aca="false">MONTH(B30)</f>
        <v>1</v>
      </c>
      <c r="I30" s="3" t="s">
        <v>1886</v>
      </c>
      <c r="J30" s="3" t="s">
        <v>1883</v>
      </c>
      <c r="K30" s="3" t="s">
        <v>1884</v>
      </c>
      <c r="L30" s="3" t="s">
        <v>1885</v>
      </c>
      <c r="M30" s="3" t="s">
        <v>1180</v>
      </c>
      <c r="N30" s="11" t="s">
        <v>1887</v>
      </c>
    </row>
    <row r="31" customFormat="false" ht="15" hidden="false" customHeight="false" outlineLevel="0" collapsed="false">
      <c r="A31" s="3" t="n">
        <v>27</v>
      </c>
      <c r="B31" s="8" t="n">
        <v>45677</v>
      </c>
      <c r="C31" s="3" t="s">
        <v>101</v>
      </c>
      <c r="D31" s="3" t="s">
        <v>102</v>
      </c>
      <c r="E31" s="9" t="n">
        <v>1415000</v>
      </c>
      <c r="F31" s="9"/>
      <c r="G31" s="9" t="n">
        <f aca="false">N(F31)-N(E31)</f>
        <v>-1415000</v>
      </c>
      <c r="H31" s="3" t="n">
        <f aca="false">MONTH(B31)</f>
        <v>1</v>
      </c>
      <c r="I31" s="3" t="s">
        <v>1899</v>
      </c>
      <c r="J31" s="3" t="s">
        <v>1883</v>
      </c>
      <c r="K31" s="3" t="s">
        <v>1884</v>
      </c>
      <c r="L31" s="3" t="s">
        <v>1885</v>
      </c>
      <c r="M31" s="3" t="s">
        <v>1181</v>
      </c>
      <c r="N31" s="11"/>
    </row>
    <row r="32" customFormat="false" ht="15" hidden="false" customHeight="false" outlineLevel="0" collapsed="false">
      <c r="A32" s="3" t="n">
        <v>28</v>
      </c>
      <c r="B32" s="8" t="n">
        <v>45677</v>
      </c>
      <c r="C32" s="3" t="s">
        <v>103</v>
      </c>
      <c r="D32" s="3" t="s">
        <v>104</v>
      </c>
      <c r="E32" s="9" t="n">
        <v>2041200</v>
      </c>
      <c r="F32" s="9"/>
      <c r="G32" s="9" t="n">
        <f aca="false">N(F32)-N(E32)</f>
        <v>-2041200</v>
      </c>
      <c r="H32" s="3" t="n">
        <f aca="false">MONTH(B32)</f>
        <v>1</v>
      </c>
      <c r="I32" s="3" t="s">
        <v>1899</v>
      </c>
      <c r="J32" s="3" t="s">
        <v>1883</v>
      </c>
      <c r="K32" s="3" t="s">
        <v>1884</v>
      </c>
      <c r="L32" s="3" t="s">
        <v>1885</v>
      </c>
      <c r="M32" s="3" t="s">
        <v>1183</v>
      </c>
      <c r="N32" s="11"/>
    </row>
    <row r="33" customFormat="false" ht="15" hidden="false" customHeight="false" outlineLevel="0" collapsed="false">
      <c r="A33" s="3" t="n">
        <v>29</v>
      </c>
      <c r="B33" s="8" t="n">
        <v>45677</v>
      </c>
      <c r="C33" s="3" t="s">
        <v>105</v>
      </c>
      <c r="D33" s="3" t="s">
        <v>106</v>
      </c>
      <c r="E33" s="9" t="n">
        <v>237700</v>
      </c>
      <c r="F33" s="9"/>
      <c r="G33" s="9" t="n">
        <f aca="false">N(F33)-N(E33)</f>
        <v>-237700</v>
      </c>
      <c r="H33" s="3" t="n">
        <f aca="false">MONTH(B33)</f>
        <v>1</v>
      </c>
      <c r="I33" s="3" t="s">
        <v>1888</v>
      </c>
      <c r="J33" s="3" t="s">
        <v>1883</v>
      </c>
      <c r="K33" s="3" t="s">
        <v>1884</v>
      </c>
      <c r="L33" s="3" t="s">
        <v>1885</v>
      </c>
      <c r="M33" s="3" t="s">
        <v>1178</v>
      </c>
      <c r="N33" s="11"/>
    </row>
    <row r="34" customFormat="false" ht="15" hidden="false" customHeight="false" outlineLevel="0" collapsed="false">
      <c r="A34" s="3" t="n">
        <v>30</v>
      </c>
      <c r="B34" s="8" t="n">
        <v>45677</v>
      </c>
      <c r="C34" s="3" t="s">
        <v>107</v>
      </c>
      <c r="D34" s="3" t="s">
        <v>108</v>
      </c>
      <c r="E34" s="9" t="n">
        <v>232180.8</v>
      </c>
      <c r="F34" s="9"/>
      <c r="G34" s="9" t="n">
        <f aca="false">N(F34)-N(E34)</f>
        <v>-232180.8</v>
      </c>
      <c r="H34" s="3" t="n">
        <f aca="false">MONTH(B34)</f>
        <v>1</v>
      </c>
      <c r="I34" s="3" t="s">
        <v>1901</v>
      </c>
      <c r="J34" s="3" t="s">
        <v>1883</v>
      </c>
      <c r="K34" s="3" t="s">
        <v>1884</v>
      </c>
      <c r="L34" s="3" t="s">
        <v>1885</v>
      </c>
      <c r="M34" s="3" t="s">
        <v>1184</v>
      </c>
      <c r="N34" s="11" t="s">
        <v>1902</v>
      </c>
    </row>
    <row r="35" customFormat="false" ht="15" hidden="false" customHeight="false" outlineLevel="0" collapsed="false">
      <c r="A35" s="12" t="n">
        <v>31</v>
      </c>
      <c r="B35" s="13" t="n">
        <v>45678</v>
      </c>
      <c r="C35" s="12" t="s">
        <v>109</v>
      </c>
      <c r="D35" s="12" t="s">
        <v>110</v>
      </c>
      <c r="E35" s="14"/>
      <c r="F35" s="14" t="n">
        <v>342680.91</v>
      </c>
      <c r="G35" s="14" t="n">
        <f aca="false">N(F35)-N(E35)</f>
        <v>342680.91</v>
      </c>
      <c r="H35" s="12" t="n">
        <f aca="false">MONTH(B35)</f>
        <v>1</v>
      </c>
      <c r="I35" s="12" t="s">
        <v>1895</v>
      </c>
      <c r="J35" s="12" t="s">
        <v>1883</v>
      </c>
      <c r="K35" s="12" t="s">
        <v>1896</v>
      </c>
      <c r="L35" s="12" t="s">
        <v>1885</v>
      </c>
      <c r="M35" s="12" t="s">
        <v>1185</v>
      </c>
      <c r="N35" s="15" t="s">
        <v>1897</v>
      </c>
    </row>
    <row r="36" customFormat="false" ht="15" hidden="false" customHeight="false" outlineLevel="0" collapsed="false">
      <c r="A36" s="3" t="n">
        <v>32</v>
      </c>
      <c r="B36" s="8" t="n">
        <v>45678</v>
      </c>
      <c r="C36" s="3" t="s">
        <v>111</v>
      </c>
      <c r="D36" s="3" t="s">
        <v>112</v>
      </c>
      <c r="E36" s="9" t="n">
        <v>865116.28</v>
      </c>
      <c r="F36" s="9"/>
      <c r="G36" s="9" t="n">
        <f aca="false">N(F36)-N(E36)</f>
        <v>-865116.28</v>
      </c>
      <c r="H36" s="3" t="n">
        <f aca="false">MONTH(B36)</f>
        <v>1</v>
      </c>
      <c r="I36" s="3" t="s">
        <v>1904</v>
      </c>
      <c r="J36" s="3" t="s">
        <v>1883</v>
      </c>
      <c r="K36" s="3" t="s">
        <v>1884</v>
      </c>
      <c r="L36" s="3" t="s">
        <v>1885</v>
      </c>
      <c r="M36" s="3" t="s">
        <v>1186</v>
      </c>
      <c r="N36" s="11" t="s">
        <v>1905</v>
      </c>
    </row>
    <row r="37" customFormat="false" ht="15" hidden="false" customHeight="false" outlineLevel="0" collapsed="false">
      <c r="A37" s="3" t="n">
        <v>33</v>
      </c>
      <c r="B37" s="8" t="n">
        <v>45679</v>
      </c>
      <c r="C37" s="3" t="s">
        <v>113</v>
      </c>
      <c r="D37" s="3" t="s">
        <v>114</v>
      </c>
      <c r="E37" s="9" t="n">
        <v>185202.57</v>
      </c>
      <c r="F37" s="9"/>
      <c r="G37" s="9" t="n">
        <f aca="false">N(F37)-N(E37)</f>
        <v>-185202.57</v>
      </c>
      <c r="H37" s="3" t="n">
        <f aca="false">MONTH(B37)</f>
        <v>1</v>
      </c>
      <c r="I37" s="3" t="s">
        <v>1906</v>
      </c>
      <c r="J37" s="3" t="s">
        <v>1883</v>
      </c>
      <c r="K37" s="3" t="s">
        <v>1884</v>
      </c>
      <c r="L37" s="3" t="s">
        <v>1885</v>
      </c>
      <c r="M37" s="3" t="s">
        <v>1190</v>
      </c>
      <c r="N37" s="11"/>
    </row>
    <row r="38" customFormat="false" ht="15" hidden="false" customHeight="false" outlineLevel="0" collapsed="false">
      <c r="A38" s="3" t="n">
        <v>34</v>
      </c>
      <c r="B38" s="8" t="n">
        <v>45680</v>
      </c>
      <c r="C38" s="3" t="s">
        <v>115</v>
      </c>
      <c r="D38" s="3" t="s">
        <v>116</v>
      </c>
      <c r="E38" s="9"/>
      <c r="F38" s="9" t="n">
        <v>615346.61</v>
      </c>
      <c r="G38" s="9" t="n">
        <f aca="false">N(F38)-N(E38)</f>
        <v>615346.61</v>
      </c>
      <c r="H38" s="3" t="n">
        <f aca="false">MONTH(B38)</f>
        <v>1</v>
      </c>
      <c r="I38" s="3" t="s">
        <v>1891</v>
      </c>
      <c r="J38" s="3" t="s">
        <v>1883</v>
      </c>
      <c r="K38" s="3" t="s">
        <v>1884</v>
      </c>
      <c r="L38" s="3" t="s">
        <v>1885</v>
      </c>
      <c r="M38" s="3" t="s">
        <v>1192</v>
      </c>
      <c r="N38" s="11" t="s">
        <v>1892</v>
      </c>
    </row>
    <row r="39" customFormat="false" ht="15" hidden="false" customHeight="false" outlineLevel="0" collapsed="false">
      <c r="A39" s="3" t="n">
        <v>35</v>
      </c>
      <c r="B39" s="8" t="n">
        <v>45680</v>
      </c>
      <c r="C39" s="3" t="s">
        <v>117</v>
      </c>
      <c r="D39" s="3" t="s">
        <v>118</v>
      </c>
      <c r="E39" s="9" t="n">
        <v>255328.23</v>
      </c>
      <c r="F39" s="9"/>
      <c r="G39" s="9" t="n">
        <f aca="false">N(F39)-N(E39)</f>
        <v>-255328.23</v>
      </c>
      <c r="H39" s="3" t="n">
        <f aca="false">MONTH(B39)</f>
        <v>1</v>
      </c>
      <c r="I39" s="3" t="s">
        <v>1893</v>
      </c>
      <c r="J39" s="3" t="s">
        <v>1883</v>
      </c>
      <c r="K39" s="3" t="s">
        <v>1884</v>
      </c>
      <c r="L39" s="3" t="s">
        <v>1885</v>
      </c>
      <c r="M39" s="3" t="s">
        <v>1193</v>
      </c>
      <c r="N39" s="11" t="s">
        <v>1894</v>
      </c>
    </row>
    <row r="40" customFormat="false" ht="15" hidden="false" customHeight="false" outlineLevel="0" collapsed="false">
      <c r="A40" s="12" t="n">
        <v>36</v>
      </c>
      <c r="B40" s="13" t="n">
        <v>45681</v>
      </c>
      <c r="C40" s="12" t="s">
        <v>119</v>
      </c>
      <c r="D40" s="12" t="s">
        <v>120</v>
      </c>
      <c r="E40" s="14"/>
      <c r="F40" s="14" t="n">
        <v>1558800</v>
      </c>
      <c r="G40" s="14" t="n">
        <f aca="false">N(F40)-N(E40)</f>
        <v>1558800</v>
      </c>
      <c r="H40" s="12" t="n">
        <f aca="false">MONTH(B40)</f>
        <v>1</v>
      </c>
      <c r="I40" s="12" t="s">
        <v>1882</v>
      </c>
      <c r="J40" s="12" t="s">
        <v>1883</v>
      </c>
      <c r="K40" s="12" t="s">
        <v>1896</v>
      </c>
      <c r="L40" s="12" t="s">
        <v>1885</v>
      </c>
      <c r="M40" s="12" t="s">
        <v>1195</v>
      </c>
      <c r="N40" s="15" t="s">
        <v>1907</v>
      </c>
    </row>
    <row r="41" customFormat="false" ht="15" hidden="false" customHeight="false" outlineLevel="0" collapsed="false">
      <c r="A41" s="12" t="n">
        <v>37</v>
      </c>
      <c r="B41" s="13" t="n">
        <v>45681</v>
      </c>
      <c r="C41" s="12" t="s">
        <v>121</v>
      </c>
      <c r="D41" s="12" t="s">
        <v>122</v>
      </c>
      <c r="E41" s="14" t="n">
        <v>413000</v>
      </c>
      <c r="F41" s="14"/>
      <c r="G41" s="14" t="n">
        <f aca="false">N(F41)-N(E41)</f>
        <v>-413000</v>
      </c>
      <c r="H41" s="12" t="n">
        <f aca="false">MONTH(B41)</f>
        <v>1</v>
      </c>
      <c r="I41" s="12" t="s">
        <v>1908</v>
      </c>
      <c r="J41" s="12" t="s">
        <v>1883</v>
      </c>
      <c r="K41" s="12" t="s">
        <v>1896</v>
      </c>
      <c r="L41" s="12" t="s">
        <v>1885</v>
      </c>
      <c r="M41" s="12" t="s">
        <v>1188</v>
      </c>
      <c r="N41" s="15" t="s">
        <v>1909</v>
      </c>
    </row>
    <row r="42" customFormat="false" ht="15" hidden="false" customHeight="false" outlineLevel="0" collapsed="false">
      <c r="A42" s="12" t="n">
        <v>38</v>
      </c>
      <c r="B42" s="13" t="n">
        <v>45681</v>
      </c>
      <c r="C42" s="12" t="s">
        <v>123</v>
      </c>
      <c r="D42" s="12" t="s">
        <v>124</v>
      </c>
      <c r="E42" s="14" t="n">
        <v>409000</v>
      </c>
      <c r="F42" s="14"/>
      <c r="G42" s="14" t="n">
        <f aca="false">N(F42)-N(E42)</f>
        <v>-409000</v>
      </c>
      <c r="H42" s="12" t="n">
        <f aca="false">MONTH(B42)</f>
        <v>1</v>
      </c>
      <c r="I42" s="12" t="s">
        <v>1908</v>
      </c>
      <c r="J42" s="12" t="s">
        <v>1883</v>
      </c>
      <c r="K42" s="12" t="s">
        <v>1896</v>
      </c>
      <c r="L42" s="12" t="s">
        <v>1885</v>
      </c>
      <c r="M42" s="12" t="s">
        <v>1197</v>
      </c>
      <c r="N42" s="15" t="s">
        <v>1909</v>
      </c>
    </row>
    <row r="43" customFormat="false" ht="15" hidden="false" customHeight="false" outlineLevel="0" collapsed="false">
      <c r="A43" s="3" t="n">
        <v>39</v>
      </c>
      <c r="B43" s="8" t="n">
        <v>45684</v>
      </c>
      <c r="C43" s="3" t="s">
        <v>125</v>
      </c>
      <c r="D43" s="3" t="s">
        <v>126</v>
      </c>
      <c r="E43" s="9"/>
      <c r="F43" s="9" t="n">
        <v>1600196.44</v>
      </c>
      <c r="G43" s="9" t="n">
        <f aca="false">N(F43)-N(E43)</f>
        <v>1600196.44</v>
      </c>
      <c r="H43" s="3" t="n">
        <f aca="false">MONTH(B43)</f>
        <v>1</v>
      </c>
      <c r="I43" s="3" t="s">
        <v>1886</v>
      </c>
      <c r="J43" s="3" t="s">
        <v>1883</v>
      </c>
      <c r="K43" s="3" t="s">
        <v>1884</v>
      </c>
      <c r="L43" s="3" t="s">
        <v>1885</v>
      </c>
      <c r="M43" s="3" t="s">
        <v>1198</v>
      </c>
      <c r="N43" s="11" t="s">
        <v>1887</v>
      </c>
    </row>
    <row r="44" customFormat="false" ht="15" hidden="false" customHeight="false" outlineLevel="0" collapsed="false">
      <c r="A44" s="3" t="n">
        <v>40</v>
      </c>
      <c r="B44" s="8" t="n">
        <v>45684</v>
      </c>
      <c r="C44" s="3" t="s">
        <v>127</v>
      </c>
      <c r="D44" s="3" t="s">
        <v>128</v>
      </c>
      <c r="E44" s="9" t="n">
        <v>3781200</v>
      </c>
      <c r="F44" s="9"/>
      <c r="G44" s="9" t="n">
        <f aca="false">N(F44)-N(E44)</f>
        <v>-3781200</v>
      </c>
      <c r="H44" s="3" t="n">
        <f aca="false">MONTH(B44)</f>
        <v>1</v>
      </c>
      <c r="I44" s="3" t="s">
        <v>1910</v>
      </c>
      <c r="J44" s="3" t="s">
        <v>1883</v>
      </c>
      <c r="K44" s="3" t="s">
        <v>1884</v>
      </c>
      <c r="L44" s="3" t="s">
        <v>1885</v>
      </c>
      <c r="M44" s="3" t="s">
        <v>1199</v>
      </c>
      <c r="N44" s="11"/>
    </row>
    <row r="45" customFormat="false" ht="15" hidden="false" customHeight="false" outlineLevel="0" collapsed="false">
      <c r="A45" s="3" t="n">
        <v>41</v>
      </c>
      <c r="B45" s="8" t="n">
        <v>45684</v>
      </c>
      <c r="C45" s="3" t="s">
        <v>129</v>
      </c>
      <c r="D45" s="3" t="s">
        <v>130</v>
      </c>
      <c r="E45" s="9" t="n">
        <v>198600</v>
      </c>
      <c r="F45" s="9"/>
      <c r="G45" s="9" t="n">
        <f aca="false">N(F45)-N(E45)</f>
        <v>-198600</v>
      </c>
      <c r="H45" s="3" t="n">
        <f aca="false">MONTH(B45)</f>
        <v>1</v>
      </c>
      <c r="I45" s="3" t="s">
        <v>1888</v>
      </c>
      <c r="J45" s="3" t="s">
        <v>1883</v>
      </c>
      <c r="K45" s="3" t="s">
        <v>1884</v>
      </c>
      <c r="L45" s="3" t="s">
        <v>1885</v>
      </c>
      <c r="M45" s="3" t="s">
        <v>1201</v>
      </c>
      <c r="N45" s="11"/>
    </row>
    <row r="46" customFormat="false" ht="15" hidden="false" customHeight="false" outlineLevel="0" collapsed="false">
      <c r="A46" s="3" t="n">
        <v>42</v>
      </c>
      <c r="B46" s="8" t="n">
        <v>45684</v>
      </c>
      <c r="C46" s="3" t="s">
        <v>131</v>
      </c>
      <c r="D46" s="3" t="s">
        <v>132</v>
      </c>
      <c r="E46" s="9" t="n">
        <v>304235.28</v>
      </c>
      <c r="F46" s="9"/>
      <c r="G46" s="9" t="n">
        <f aca="false">N(F46)-N(E46)</f>
        <v>-304235.28</v>
      </c>
      <c r="H46" s="3" t="n">
        <f aca="false">MONTH(B46)</f>
        <v>1</v>
      </c>
      <c r="I46" s="3" t="s">
        <v>1893</v>
      </c>
      <c r="J46" s="3" t="s">
        <v>1883</v>
      </c>
      <c r="K46" s="3" t="s">
        <v>1884</v>
      </c>
      <c r="L46" s="3" t="s">
        <v>1885</v>
      </c>
      <c r="M46" s="3" t="s">
        <v>1194</v>
      </c>
      <c r="N46" s="11" t="s">
        <v>1894</v>
      </c>
    </row>
    <row r="47" customFormat="false" ht="15" hidden="false" customHeight="false" outlineLevel="0" collapsed="false">
      <c r="A47" s="3" t="n">
        <v>43</v>
      </c>
      <c r="B47" s="8" t="n">
        <v>45688</v>
      </c>
      <c r="C47" s="3" t="s">
        <v>133</v>
      </c>
      <c r="D47" s="3" t="s">
        <v>134</v>
      </c>
      <c r="E47" s="9" t="n">
        <v>4500</v>
      </c>
      <c r="F47" s="9"/>
      <c r="G47" s="9" t="n">
        <f aca="false">N(F47)-N(E47)</f>
        <v>-4500</v>
      </c>
      <c r="H47" s="3" t="n">
        <f aca="false">MONTH(B47)</f>
        <v>1</v>
      </c>
      <c r="I47" s="3" t="s">
        <v>1911</v>
      </c>
      <c r="J47" s="3" t="s">
        <v>1883</v>
      </c>
      <c r="K47" s="3" t="s">
        <v>1884</v>
      </c>
      <c r="L47" s="3" t="s">
        <v>1912</v>
      </c>
      <c r="M47" s="3" t="s">
        <v>1203</v>
      </c>
      <c r="N47" s="11" t="s">
        <v>1913</v>
      </c>
    </row>
    <row r="48" customFormat="false" ht="15" hidden="false" customHeight="false" outlineLevel="0" collapsed="false">
      <c r="A48" s="3" t="n">
        <v>44</v>
      </c>
      <c r="B48" s="8" t="n">
        <v>45688</v>
      </c>
      <c r="C48" s="3" t="s">
        <v>135</v>
      </c>
      <c r="D48" s="3" t="s">
        <v>136</v>
      </c>
      <c r="E48" s="9" t="n">
        <v>4131</v>
      </c>
      <c r="F48" s="9"/>
      <c r="G48" s="9" t="n">
        <f aca="false">N(F48)-N(E48)</f>
        <v>-4131</v>
      </c>
      <c r="H48" s="3" t="n">
        <f aca="false">MONTH(B48)</f>
        <v>1</v>
      </c>
      <c r="I48" s="3" t="s">
        <v>1911</v>
      </c>
      <c r="J48" s="3" t="s">
        <v>1883</v>
      </c>
      <c r="K48" s="3" t="s">
        <v>1884</v>
      </c>
      <c r="L48" s="3" t="s">
        <v>1912</v>
      </c>
      <c r="M48" s="3" t="s">
        <v>1203</v>
      </c>
      <c r="N48" s="11" t="s">
        <v>1913</v>
      </c>
    </row>
    <row r="49" customFormat="false" ht="15" hidden="false" customHeight="false" outlineLevel="0" collapsed="false">
      <c r="A49" s="3" t="n">
        <v>45</v>
      </c>
      <c r="B49" s="8" t="n">
        <v>45688</v>
      </c>
      <c r="C49" s="3" t="s">
        <v>137</v>
      </c>
      <c r="D49" s="3" t="s">
        <v>138</v>
      </c>
      <c r="E49" s="9" t="n">
        <v>450</v>
      </c>
      <c r="F49" s="9"/>
      <c r="G49" s="9" t="n">
        <f aca="false">N(F49)-N(E49)</f>
        <v>-450</v>
      </c>
      <c r="H49" s="3" t="n">
        <f aca="false">MONTH(B49)</f>
        <v>1</v>
      </c>
      <c r="I49" s="3" t="s">
        <v>1911</v>
      </c>
      <c r="J49" s="3" t="s">
        <v>1883</v>
      </c>
      <c r="K49" s="3" t="s">
        <v>1884</v>
      </c>
      <c r="L49" s="3" t="s">
        <v>1912</v>
      </c>
      <c r="M49" s="3" t="s">
        <v>1203</v>
      </c>
      <c r="N49" s="11" t="s">
        <v>1913</v>
      </c>
    </row>
    <row r="50" customFormat="false" ht="15" hidden="false" customHeight="false" outlineLevel="0" collapsed="false">
      <c r="A50" s="3" t="n">
        <v>46</v>
      </c>
      <c r="B50" s="8" t="n">
        <v>45688</v>
      </c>
      <c r="C50" s="3" t="s">
        <v>139</v>
      </c>
      <c r="D50" s="3" t="s">
        <v>140</v>
      </c>
      <c r="E50" s="9" t="n">
        <v>681.07</v>
      </c>
      <c r="F50" s="9"/>
      <c r="G50" s="9" t="n">
        <f aca="false">N(F50)-N(E50)</f>
        <v>-681.07</v>
      </c>
      <c r="H50" s="3" t="n">
        <f aca="false">MONTH(B50)</f>
        <v>1</v>
      </c>
      <c r="I50" s="3" t="s">
        <v>1911</v>
      </c>
      <c r="J50" s="3" t="s">
        <v>1883</v>
      </c>
      <c r="K50" s="3" t="s">
        <v>1884</v>
      </c>
      <c r="L50" s="3" t="s">
        <v>1912</v>
      </c>
      <c r="M50" s="3" t="s">
        <v>1203</v>
      </c>
      <c r="N50" s="11" t="s">
        <v>1913</v>
      </c>
    </row>
    <row r="51" customFormat="false" ht="15" hidden="false" customHeight="false" outlineLevel="0" collapsed="false">
      <c r="A51" s="3" t="n">
        <v>47</v>
      </c>
      <c r="B51" s="8" t="n">
        <v>45688</v>
      </c>
      <c r="C51" s="3" t="s">
        <v>141</v>
      </c>
      <c r="D51" s="3" t="s">
        <v>142</v>
      </c>
      <c r="E51" s="9" t="n">
        <v>850</v>
      </c>
      <c r="F51" s="9"/>
      <c r="G51" s="9" t="n">
        <f aca="false">N(F51)-N(E51)</f>
        <v>-850</v>
      </c>
      <c r="H51" s="3" t="n">
        <f aca="false">MONTH(B51)</f>
        <v>1</v>
      </c>
      <c r="I51" s="3" t="s">
        <v>1914</v>
      </c>
      <c r="J51" s="3" t="s">
        <v>1883</v>
      </c>
      <c r="K51" s="3" t="s">
        <v>1884</v>
      </c>
      <c r="L51" s="3" t="s">
        <v>1912</v>
      </c>
      <c r="M51" s="3" t="s">
        <v>1203</v>
      </c>
      <c r="N51" s="11" t="s">
        <v>1913</v>
      </c>
    </row>
    <row r="52" customFormat="false" ht="15" hidden="false" customHeight="false" outlineLevel="0" collapsed="false">
      <c r="A52" s="3" t="n">
        <v>48</v>
      </c>
      <c r="B52" s="8" t="n">
        <v>45691</v>
      </c>
      <c r="C52" s="3" t="s">
        <v>143</v>
      </c>
      <c r="D52" s="3" t="s">
        <v>144</v>
      </c>
      <c r="E52" s="9" t="n">
        <v>376100</v>
      </c>
      <c r="F52" s="9"/>
      <c r="G52" s="9" t="n">
        <f aca="false">N(F52)-N(E52)</f>
        <v>-376100</v>
      </c>
      <c r="H52" s="3" t="n">
        <f aca="false">MONTH(B52)</f>
        <v>2</v>
      </c>
      <c r="I52" s="3" t="s">
        <v>1888</v>
      </c>
      <c r="J52" s="3" t="s">
        <v>1883</v>
      </c>
      <c r="K52" s="3" t="s">
        <v>1884</v>
      </c>
      <c r="L52" s="3" t="s">
        <v>1885</v>
      </c>
      <c r="M52" s="3" t="s">
        <v>1205</v>
      </c>
      <c r="N52" s="11"/>
    </row>
    <row r="53" customFormat="false" ht="15" hidden="false" customHeight="false" outlineLevel="0" collapsed="false">
      <c r="A53" s="12" t="n">
        <v>49</v>
      </c>
      <c r="B53" s="13" t="n">
        <v>45692</v>
      </c>
      <c r="C53" s="12" t="s">
        <v>145</v>
      </c>
      <c r="D53" s="12" t="s">
        <v>146</v>
      </c>
      <c r="E53" s="14"/>
      <c r="F53" s="14" t="n">
        <v>1712436.71</v>
      </c>
      <c r="G53" s="14" t="n">
        <f aca="false">N(F53)-N(E53)</f>
        <v>1712436.71</v>
      </c>
      <c r="H53" s="12" t="n">
        <f aca="false">MONTH(B53)</f>
        <v>2</v>
      </c>
      <c r="I53" s="12" t="s">
        <v>1895</v>
      </c>
      <c r="J53" s="12" t="s">
        <v>1883</v>
      </c>
      <c r="K53" s="12" t="s">
        <v>1896</v>
      </c>
      <c r="L53" s="12" t="s">
        <v>1885</v>
      </c>
      <c r="M53" s="12" t="s">
        <v>1206</v>
      </c>
      <c r="N53" s="15" t="s">
        <v>1897</v>
      </c>
    </row>
    <row r="54" customFormat="false" ht="15" hidden="false" customHeight="false" outlineLevel="0" collapsed="false">
      <c r="A54" s="3" t="n">
        <v>50</v>
      </c>
      <c r="B54" s="8" t="n">
        <v>45693</v>
      </c>
      <c r="C54" s="3" t="s">
        <v>147</v>
      </c>
      <c r="D54" s="3" t="s">
        <v>148</v>
      </c>
      <c r="E54" s="9"/>
      <c r="F54" s="9" t="n">
        <v>2071500</v>
      </c>
      <c r="G54" s="9" t="n">
        <f aca="false">N(F54)-N(E54)</f>
        <v>2071500</v>
      </c>
      <c r="H54" s="3" t="n">
        <f aca="false">MONTH(B54)</f>
        <v>2</v>
      </c>
      <c r="I54" s="3" t="s">
        <v>1882</v>
      </c>
      <c r="J54" s="3" t="s">
        <v>1883</v>
      </c>
      <c r="K54" s="3" t="s">
        <v>1884</v>
      </c>
      <c r="L54" s="3" t="s">
        <v>1885</v>
      </c>
      <c r="M54" s="3" t="s">
        <v>1207</v>
      </c>
      <c r="N54" s="11"/>
    </row>
    <row r="55" customFormat="false" ht="15" hidden="false" customHeight="false" outlineLevel="0" collapsed="false">
      <c r="A55" s="3" t="n">
        <v>51</v>
      </c>
      <c r="B55" s="8" t="n">
        <v>45693</v>
      </c>
      <c r="C55" s="3" t="s">
        <v>149</v>
      </c>
      <c r="D55" s="3" t="s">
        <v>150</v>
      </c>
      <c r="E55" s="9" t="n">
        <v>85000</v>
      </c>
      <c r="F55" s="9"/>
      <c r="G55" s="9" t="n">
        <f aca="false">N(F55)-N(E55)</f>
        <v>-85000</v>
      </c>
      <c r="H55" s="3" t="n">
        <f aca="false">MONTH(B55)</f>
        <v>2</v>
      </c>
      <c r="I55" s="3" t="s">
        <v>1888</v>
      </c>
      <c r="J55" s="3" t="s">
        <v>1883</v>
      </c>
      <c r="K55" s="3" t="s">
        <v>1884</v>
      </c>
      <c r="L55" s="3" t="s">
        <v>1915</v>
      </c>
      <c r="M55" s="3" t="s">
        <v>1202</v>
      </c>
      <c r="N55" s="11"/>
    </row>
    <row r="56" customFormat="false" ht="15" hidden="false" customHeight="false" outlineLevel="0" collapsed="false">
      <c r="A56" s="3" t="n">
        <v>52</v>
      </c>
      <c r="B56" s="8" t="n">
        <v>45694</v>
      </c>
      <c r="C56" s="3" t="s">
        <v>151</v>
      </c>
      <c r="D56" s="3" t="s">
        <v>152</v>
      </c>
      <c r="E56" s="9"/>
      <c r="F56" s="9" t="n">
        <v>1445169.14</v>
      </c>
      <c r="G56" s="9" t="n">
        <f aca="false">N(F56)-N(E56)</f>
        <v>1445169.14</v>
      </c>
      <c r="H56" s="3" t="n">
        <f aca="false">MONTH(B56)</f>
        <v>2</v>
      </c>
      <c r="I56" s="3" t="s">
        <v>1886</v>
      </c>
      <c r="J56" s="3" t="s">
        <v>1883</v>
      </c>
      <c r="K56" s="3" t="s">
        <v>1884</v>
      </c>
      <c r="L56" s="3" t="s">
        <v>1885</v>
      </c>
      <c r="M56" s="3" t="s">
        <v>1209</v>
      </c>
      <c r="N56" s="11" t="s">
        <v>1887</v>
      </c>
    </row>
    <row r="57" customFormat="false" ht="15" hidden="false" customHeight="false" outlineLevel="0" collapsed="false">
      <c r="A57" s="3" t="n">
        <v>53</v>
      </c>
      <c r="B57" s="8" t="n">
        <v>45695</v>
      </c>
      <c r="C57" s="3" t="s">
        <v>153</v>
      </c>
      <c r="D57" s="3" t="s">
        <v>154</v>
      </c>
      <c r="E57" s="9" t="n">
        <v>2146800</v>
      </c>
      <c r="F57" s="9"/>
      <c r="G57" s="9" t="n">
        <f aca="false">N(F57)-N(E57)</f>
        <v>-2146800</v>
      </c>
      <c r="H57" s="3" t="n">
        <f aca="false">MONTH(B57)</f>
        <v>2</v>
      </c>
      <c r="I57" s="3" t="s">
        <v>1899</v>
      </c>
      <c r="J57" s="3" t="s">
        <v>1883</v>
      </c>
      <c r="K57" s="3" t="s">
        <v>1884</v>
      </c>
      <c r="L57" s="3" t="s">
        <v>1885</v>
      </c>
      <c r="M57" s="3" t="s">
        <v>1211</v>
      </c>
      <c r="N57" s="11"/>
    </row>
    <row r="58" customFormat="false" ht="15" hidden="false" customHeight="false" outlineLevel="0" collapsed="false">
      <c r="A58" s="12" t="n">
        <v>54</v>
      </c>
      <c r="B58" s="13" t="n">
        <v>45698</v>
      </c>
      <c r="C58" s="12" t="s">
        <v>155</v>
      </c>
      <c r="D58" s="12" t="s">
        <v>156</v>
      </c>
      <c r="E58" s="14"/>
      <c r="F58" s="14" t="n">
        <v>4532000</v>
      </c>
      <c r="G58" s="14" t="n">
        <f aca="false">N(F58)-N(E58)</f>
        <v>4532000</v>
      </c>
      <c r="H58" s="12" t="n">
        <f aca="false">MONTH(B58)</f>
        <v>2</v>
      </c>
      <c r="I58" s="12" t="s">
        <v>1882</v>
      </c>
      <c r="J58" s="12" t="s">
        <v>1883</v>
      </c>
      <c r="K58" s="12" t="s">
        <v>1896</v>
      </c>
      <c r="L58" s="12" t="s">
        <v>1885</v>
      </c>
      <c r="M58" s="12" t="s">
        <v>1213</v>
      </c>
      <c r="N58" s="15" t="s">
        <v>1907</v>
      </c>
    </row>
    <row r="59" customFormat="false" ht="15" hidden="false" customHeight="false" outlineLevel="0" collapsed="false">
      <c r="A59" s="3" t="n">
        <v>55</v>
      </c>
      <c r="B59" s="8" t="n">
        <v>45698</v>
      </c>
      <c r="C59" s="3" t="s">
        <v>157</v>
      </c>
      <c r="D59" s="3" t="s">
        <v>158</v>
      </c>
      <c r="E59" s="9"/>
      <c r="F59" s="9" t="n">
        <v>3417600</v>
      </c>
      <c r="G59" s="9" t="n">
        <f aca="false">N(F59)-N(E59)</f>
        <v>3417600</v>
      </c>
      <c r="H59" s="3" t="n">
        <f aca="false">MONTH(B59)</f>
        <v>2</v>
      </c>
      <c r="I59" s="3" t="s">
        <v>1882</v>
      </c>
      <c r="J59" s="3" t="s">
        <v>1883</v>
      </c>
      <c r="K59" s="3" t="s">
        <v>1884</v>
      </c>
      <c r="L59" s="3" t="s">
        <v>1885</v>
      </c>
      <c r="M59" s="3" t="s">
        <v>1214</v>
      </c>
      <c r="N59" s="11"/>
    </row>
    <row r="60" customFormat="false" ht="15" hidden="false" customHeight="false" outlineLevel="0" collapsed="false">
      <c r="A60" s="3" t="n">
        <v>56</v>
      </c>
      <c r="B60" s="8" t="n">
        <v>45698</v>
      </c>
      <c r="C60" s="3" t="s">
        <v>159</v>
      </c>
      <c r="D60" s="3" t="s">
        <v>160</v>
      </c>
      <c r="E60" s="9"/>
      <c r="F60" s="9" t="n">
        <v>3370500</v>
      </c>
      <c r="G60" s="9" t="n">
        <f aca="false">N(F60)-N(E60)</f>
        <v>3370500</v>
      </c>
      <c r="H60" s="3" t="n">
        <f aca="false">MONTH(B60)</f>
        <v>2</v>
      </c>
      <c r="I60" s="3" t="s">
        <v>1882</v>
      </c>
      <c r="J60" s="3" t="s">
        <v>1883</v>
      </c>
      <c r="K60" s="3" t="s">
        <v>1884</v>
      </c>
      <c r="L60" s="3" t="s">
        <v>1885</v>
      </c>
      <c r="M60" s="3" t="s">
        <v>1216</v>
      </c>
      <c r="N60" s="11"/>
    </row>
    <row r="61" customFormat="false" ht="15" hidden="false" customHeight="false" outlineLevel="0" collapsed="false">
      <c r="A61" s="3" t="n">
        <v>57</v>
      </c>
      <c r="B61" s="8" t="n">
        <v>45698</v>
      </c>
      <c r="C61" s="3" t="s">
        <v>161</v>
      </c>
      <c r="D61" s="3" t="s">
        <v>162</v>
      </c>
      <c r="E61" s="9"/>
      <c r="F61" s="9" t="n">
        <v>833153.64</v>
      </c>
      <c r="G61" s="9" t="n">
        <f aca="false">N(F61)-N(E61)</f>
        <v>833153.64</v>
      </c>
      <c r="H61" s="3" t="n">
        <f aca="false">MONTH(B61)</f>
        <v>2</v>
      </c>
      <c r="I61" s="3" t="s">
        <v>1891</v>
      </c>
      <c r="J61" s="3" t="s">
        <v>1883</v>
      </c>
      <c r="K61" s="3" t="s">
        <v>1884</v>
      </c>
      <c r="L61" s="3" t="s">
        <v>1885</v>
      </c>
      <c r="M61" s="3" t="s">
        <v>1210</v>
      </c>
      <c r="N61" s="11" t="s">
        <v>1892</v>
      </c>
    </row>
    <row r="62" customFormat="false" ht="15" hidden="false" customHeight="false" outlineLevel="0" collapsed="false">
      <c r="A62" s="3" t="n">
        <v>58</v>
      </c>
      <c r="B62" s="8" t="n">
        <v>45698</v>
      </c>
      <c r="C62" s="3" t="s">
        <v>163</v>
      </c>
      <c r="D62" s="3" t="s">
        <v>164</v>
      </c>
      <c r="E62" s="9" t="n">
        <v>450800</v>
      </c>
      <c r="F62" s="9"/>
      <c r="G62" s="9" t="n">
        <f aca="false">N(F62)-N(E62)</f>
        <v>-450800</v>
      </c>
      <c r="H62" s="3" t="n">
        <f aca="false">MONTH(B62)</f>
        <v>2</v>
      </c>
      <c r="I62" s="3" t="s">
        <v>1898</v>
      </c>
      <c r="J62" s="3" t="s">
        <v>1883</v>
      </c>
      <c r="K62" s="3" t="s">
        <v>1884</v>
      </c>
      <c r="L62" s="3" t="s">
        <v>1885</v>
      </c>
      <c r="M62" s="3" t="s">
        <v>1218</v>
      </c>
      <c r="N62" s="11"/>
    </row>
    <row r="63" customFormat="false" ht="15" hidden="false" customHeight="false" outlineLevel="0" collapsed="false">
      <c r="A63" s="3" t="n">
        <v>59</v>
      </c>
      <c r="B63" s="8" t="n">
        <v>45698</v>
      </c>
      <c r="C63" s="3" t="s">
        <v>165</v>
      </c>
      <c r="D63" s="3" t="s">
        <v>166</v>
      </c>
      <c r="E63" s="9" t="n">
        <v>245000</v>
      </c>
      <c r="F63" s="9"/>
      <c r="G63" s="9" t="n">
        <f aca="false">N(F63)-N(E63)</f>
        <v>-245000</v>
      </c>
      <c r="H63" s="3" t="n">
        <f aca="false">MONTH(B63)</f>
        <v>2</v>
      </c>
      <c r="I63" s="3" t="s">
        <v>1888</v>
      </c>
      <c r="J63" s="3" t="s">
        <v>1883</v>
      </c>
      <c r="K63" s="3" t="s">
        <v>1884</v>
      </c>
      <c r="L63" s="3" t="s">
        <v>1885</v>
      </c>
      <c r="M63" s="3" t="s">
        <v>1220</v>
      </c>
      <c r="N63" s="11"/>
    </row>
    <row r="64" customFormat="false" ht="15" hidden="false" customHeight="false" outlineLevel="0" collapsed="false">
      <c r="A64" s="3" t="n">
        <v>60</v>
      </c>
      <c r="B64" s="8" t="n">
        <v>45698</v>
      </c>
      <c r="C64" s="3" t="s">
        <v>167</v>
      </c>
      <c r="D64" s="3" t="s">
        <v>168</v>
      </c>
      <c r="E64" s="9" t="n">
        <v>130339.28</v>
      </c>
      <c r="F64" s="9"/>
      <c r="G64" s="9" t="n">
        <f aca="false">N(F64)-N(E64)</f>
        <v>-130339.28</v>
      </c>
      <c r="H64" s="3" t="n">
        <f aca="false">MONTH(B64)</f>
        <v>2</v>
      </c>
      <c r="I64" s="3" t="s">
        <v>1893</v>
      </c>
      <c r="J64" s="3" t="s">
        <v>1883</v>
      </c>
      <c r="K64" s="3" t="s">
        <v>1884</v>
      </c>
      <c r="L64" s="3" t="s">
        <v>1885</v>
      </c>
      <c r="M64" s="3" t="s">
        <v>1221</v>
      </c>
      <c r="N64" s="11" t="s">
        <v>1894</v>
      </c>
    </row>
    <row r="65" customFormat="false" ht="15" hidden="false" customHeight="false" outlineLevel="0" collapsed="false">
      <c r="A65" s="12" t="n">
        <v>61</v>
      </c>
      <c r="B65" s="13" t="n">
        <v>45698</v>
      </c>
      <c r="C65" s="12" t="s">
        <v>169</v>
      </c>
      <c r="D65" s="12" t="s">
        <v>170</v>
      </c>
      <c r="E65" s="14" t="n">
        <v>686000</v>
      </c>
      <c r="F65" s="14"/>
      <c r="G65" s="14" t="n">
        <f aca="false">N(F65)-N(E65)</f>
        <v>-686000</v>
      </c>
      <c r="H65" s="12" t="n">
        <f aca="false">MONTH(B65)</f>
        <v>2</v>
      </c>
      <c r="I65" s="12" t="s">
        <v>1908</v>
      </c>
      <c r="J65" s="12" t="s">
        <v>1883</v>
      </c>
      <c r="K65" s="12" t="s">
        <v>1896</v>
      </c>
      <c r="L65" s="12" t="s">
        <v>1885</v>
      </c>
      <c r="M65" s="12" t="s">
        <v>1222</v>
      </c>
      <c r="N65" s="15" t="s">
        <v>1909</v>
      </c>
    </row>
    <row r="66" customFormat="false" ht="15" hidden="false" customHeight="false" outlineLevel="0" collapsed="false">
      <c r="A66" s="3" t="n">
        <v>62</v>
      </c>
      <c r="B66" s="8" t="n">
        <v>45700</v>
      </c>
      <c r="C66" s="3" t="s">
        <v>171</v>
      </c>
      <c r="D66" s="3" t="s">
        <v>172</v>
      </c>
      <c r="E66" s="9" t="n">
        <v>110856.42</v>
      </c>
      <c r="F66" s="9"/>
      <c r="G66" s="9" t="n">
        <f aca="false">N(F66)-N(E66)</f>
        <v>-110856.42</v>
      </c>
      <c r="H66" s="3" t="n">
        <f aca="false">MONTH(B66)</f>
        <v>2</v>
      </c>
      <c r="I66" s="3" t="s">
        <v>1900</v>
      </c>
      <c r="J66" s="3" t="s">
        <v>1883</v>
      </c>
      <c r="K66" s="3" t="s">
        <v>1884</v>
      </c>
      <c r="L66" s="3" t="s">
        <v>1885</v>
      </c>
      <c r="M66" s="3" t="s">
        <v>1225</v>
      </c>
      <c r="N66" s="11"/>
    </row>
    <row r="67" customFormat="false" ht="15" hidden="false" customHeight="false" outlineLevel="0" collapsed="false">
      <c r="A67" s="3" t="n">
        <v>63</v>
      </c>
      <c r="B67" s="8" t="n">
        <v>45700</v>
      </c>
      <c r="C67" s="3" t="s">
        <v>173</v>
      </c>
      <c r="D67" s="3" t="s">
        <v>174</v>
      </c>
      <c r="E67" s="9" t="n">
        <v>3500000</v>
      </c>
      <c r="F67" s="9"/>
      <c r="G67" s="9" t="n">
        <f aca="false">N(F67)-N(E67)</f>
        <v>-3500000</v>
      </c>
      <c r="H67" s="3" t="n">
        <f aca="false">MONTH(B67)</f>
        <v>2</v>
      </c>
      <c r="I67" s="3" t="s">
        <v>1916</v>
      </c>
      <c r="J67" s="3" t="s">
        <v>1917</v>
      </c>
      <c r="K67" s="3" t="s">
        <v>1884</v>
      </c>
      <c r="L67" s="3" t="s">
        <v>1885</v>
      </c>
      <c r="M67" s="3" t="s">
        <v>1226</v>
      </c>
      <c r="N67" s="11" t="s">
        <v>1918</v>
      </c>
    </row>
    <row r="68" customFormat="false" ht="15" hidden="false" customHeight="false" outlineLevel="0" collapsed="false">
      <c r="A68" s="3" t="n">
        <v>64</v>
      </c>
      <c r="B68" s="8" t="n">
        <v>45701</v>
      </c>
      <c r="C68" s="3" t="s">
        <v>175</v>
      </c>
      <c r="D68" s="3" t="s">
        <v>176</v>
      </c>
      <c r="E68" s="9"/>
      <c r="F68" s="9" t="n">
        <v>4055000</v>
      </c>
      <c r="G68" s="9" t="n">
        <f aca="false">N(F68)-N(E68)</f>
        <v>4055000</v>
      </c>
      <c r="H68" s="3" t="n">
        <f aca="false">MONTH(B68)</f>
        <v>2</v>
      </c>
      <c r="I68" s="3" t="s">
        <v>1882</v>
      </c>
      <c r="J68" s="3" t="s">
        <v>1883</v>
      </c>
      <c r="K68" s="3" t="s">
        <v>1884</v>
      </c>
      <c r="L68" s="3" t="s">
        <v>1885</v>
      </c>
      <c r="M68" s="3" t="s">
        <v>1223</v>
      </c>
      <c r="N68" s="11"/>
    </row>
    <row r="69" customFormat="false" ht="15" hidden="false" customHeight="false" outlineLevel="0" collapsed="false">
      <c r="A69" s="3" t="n">
        <v>65</v>
      </c>
      <c r="B69" s="8" t="n">
        <v>45701</v>
      </c>
      <c r="C69" s="3" t="s">
        <v>177</v>
      </c>
      <c r="D69" s="3" t="s">
        <v>178</v>
      </c>
      <c r="E69" s="9"/>
      <c r="F69" s="9" t="n">
        <v>1081298.02</v>
      </c>
      <c r="G69" s="9" t="n">
        <f aca="false">N(F69)-N(E69)</f>
        <v>1081298.02</v>
      </c>
      <c r="H69" s="3" t="n">
        <f aca="false">MONTH(B69)</f>
        <v>2</v>
      </c>
      <c r="I69" s="3" t="s">
        <v>1886</v>
      </c>
      <c r="J69" s="3" t="s">
        <v>1883</v>
      </c>
      <c r="K69" s="3" t="s">
        <v>1884</v>
      </c>
      <c r="L69" s="3" t="s">
        <v>1885</v>
      </c>
      <c r="M69" s="3" t="s">
        <v>1228</v>
      </c>
      <c r="N69" s="11" t="s">
        <v>1887</v>
      </c>
    </row>
    <row r="70" customFormat="false" ht="15" hidden="false" customHeight="false" outlineLevel="0" collapsed="false">
      <c r="A70" s="3" t="n">
        <v>66</v>
      </c>
      <c r="B70" s="8" t="n">
        <v>45701</v>
      </c>
      <c r="C70" s="3" t="s">
        <v>179</v>
      </c>
      <c r="D70" s="3" t="s">
        <v>180</v>
      </c>
      <c r="E70" s="9" t="n">
        <v>2556900</v>
      </c>
      <c r="F70" s="9"/>
      <c r="G70" s="9" t="n">
        <f aca="false">N(F70)-N(E70)</f>
        <v>-2556900</v>
      </c>
      <c r="H70" s="3" t="n">
        <f aca="false">MONTH(B70)</f>
        <v>2</v>
      </c>
      <c r="I70" s="3" t="s">
        <v>1893</v>
      </c>
      <c r="J70" s="3" t="s">
        <v>1883</v>
      </c>
      <c r="K70" s="3" t="s">
        <v>1884</v>
      </c>
      <c r="L70" s="3" t="s">
        <v>1885</v>
      </c>
      <c r="M70" s="3" t="s">
        <v>1229</v>
      </c>
      <c r="N70" s="11"/>
    </row>
    <row r="71" customFormat="false" ht="15" hidden="false" customHeight="false" outlineLevel="0" collapsed="false">
      <c r="A71" s="3" t="n">
        <v>67</v>
      </c>
      <c r="B71" s="8" t="n">
        <v>45701</v>
      </c>
      <c r="C71" s="3" t="s">
        <v>181</v>
      </c>
      <c r="D71" s="3" t="s">
        <v>182</v>
      </c>
      <c r="E71" s="9" t="n">
        <v>181244.2</v>
      </c>
      <c r="F71" s="9"/>
      <c r="G71" s="9" t="n">
        <f aca="false">N(F71)-N(E71)</f>
        <v>-181244.2</v>
      </c>
      <c r="H71" s="3" t="n">
        <f aca="false">MONTH(B71)</f>
        <v>2</v>
      </c>
      <c r="I71" s="3" t="s">
        <v>1901</v>
      </c>
      <c r="J71" s="3" t="s">
        <v>1883</v>
      </c>
      <c r="K71" s="3" t="s">
        <v>1884</v>
      </c>
      <c r="L71" s="3" t="s">
        <v>1885</v>
      </c>
      <c r="M71" s="3" t="s">
        <v>1231</v>
      </c>
      <c r="N71" s="11" t="s">
        <v>1902</v>
      </c>
    </row>
    <row r="72" customFormat="false" ht="15" hidden="false" customHeight="false" outlineLevel="0" collapsed="false">
      <c r="A72" s="3" t="n">
        <v>68</v>
      </c>
      <c r="B72" s="8" t="n">
        <v>45702</v>
      </c>
      <c r="C72" s="3" t="s">
        <v>183</v>
      </c>
      <c r="D72" s="3" t="s">
        <v>184</v>
      </c>
      <c r="E72" s="9" t="n">
        <v>1463100</v>
      </c>
      <c r="F72" s="9"/>
      <c r="G72" s="9" t="n">
        <f aca="false">N(F72)-N(E72)</f>
        <v>-1463100</v>
      </c>
      <c r="H72" s="3" t="n">
        <f aca="false">MONTH(B72)</f>
        <v>2</v>
      </c>
      <c r="I72" s="3" t="s">
        <v>1899</v>
      </c>
      <c r="J72" s="3" t="s">
        <v>1883</v>
      </c>
      <c r="K72" s="3" t="s">
        <v>1884</v>
      </c>
      <c r="L72" s="3" t="s">
        <v>1885</v>
      </c>
      <c r="M72" s="3" t="s">
        <v>1234</v>
      </c>
      <c r="N72" s="11"/>
    </row>
    <row r="73" customFormat="false" ht="15" hidden="false" customHeight="false" outlineLevel="0" collapsed="false">
      <c r="A73" s="3" t="n">
        <v>69</v>
      </c>
      <c r="B73" s="8" t="n">
        <v>45702</v>
      </c>
      <c r="C73" s="3" t="s">
        <v>185</v>
      </c>
      <c r="D73" s="3" t="s">
        <v>186</v>
      </c>
      <c r="E73" s="9" t="n">
        <v>264332.37</v>
      </c>
      <c r="F73" s="9"/>
      <c r="G73" s="9" t="n">
        <f aca="false">N(F73)-N(E73)</f>
        <v>-264332.37</v>
      </c>
      <c r="H73" s="3" t="n">
        <f aca="false">MONTH(B73)</f>
        <v>2</v>
      </c>
      <c r="I73" s="3" t="s">
        <v>1893</v>
      </c>
      <c r="J73" s="3" t="s">
        <v>1883</v>
      </c>
      <c r="K73" s="3" t="s">
        <v>1884</v>
      </c>
      <c r="L73" s="3" t="s">
        <v>1885</v>
      </c>
      <c r="M73" s="3" t="s">
        <v>1236</v>
      </c>
      <c r="N73" s="11" t="s">
        <v>1894</v>
      </c>
    </row>
    <row r="74" customFormat="false" ht="15" hidden="false" customHeight="false" outlineLevel="0" collapsed="false">
      <c r="A74" s="3" t="n">
        <v>70</v>
      </c>
      <c r="B74" s="8" t="n">
        <v>45705</v>
      </c>
      <c r="C74" s="3" t="s">
        <v>187</v>
      </c>
      <c r="D74" s="3" t="s">
        <v>188</v>
      </c>
      <c r="E74" s="9" t="n">
        <v>828000</v>
      </c>
      <c r="F74" s="9"/>
      <c r="G74" s="9" t="n">
        <f aca="false">N(F74)-N(E74)</f>
        <v>-828000</v>
      </c>
      <c r="H74" s="3" t="n">
        <f aca="false">MONTH(B74)</f>
        <v>2</v>
      </c>
      <c r="I74" s="3" t="s">
        <v>1903</v>
      </c>
      <c r="J74" s="3" t="s">
        <v>1883</v>
      </c>
      <c r="K74" s="3" t="s">
        <v>1884</v>
      </c>
      <c r="L74" s="3" t="s">
        <v>1885</v>
      </c>
      <c r="M74" s="3" t="s">
        <v>1232</v>
      </c>
      <c r="N74" s="11"/>
    </row>
    <row r="75" customFormat="false" ht="15" hidden="false" customHeight="false" outlineLevel="0" collapsed="false">
      <c r="A75" s="16" t="n">
        <v>71</v>
      </c>
      <c r="B75" s="17" t="n">
        <v>45705</v>
      </c>
      <c r="C75" s="16" t="s">
        <v>189</v>
      </c>
      <c r="D75" s="16" t="s">
        <v>190</v>
      </c>
      <c r="E75" s="18"/>
      <c r="F75" s="18" t="n">
        <v>5000000</v>
      </c>
      <c r="G75" s="18" t="n">
        <f aca="false">N(F75)-N(E75)</f>
        <v>5000000</v>
      </c>
      <c r="H75" s="16" t="n">
        <f aca="false">MONTH(B75)</f>
        <v>2</v>
      </c>
      <c r="I75" s="16" t="s">
        <v>1919</v>
      </c>
      <c r="J75" s="16" t="s">
        <v>1920</v>
      </c>
      <c r="K75" s="16" t="s">
        <v>1921</v>
      </c>
      <c r="L75" s="16" t="s">
        <v>1885</v>
      </c>
      <c r="M75" s="16" t="s">
        <v>1237</v>
      </c>
      <c r="N75" s="19" t="s">
        <v>1922</v>
      </c>
    </row>
    <row r="76" customFormat="false" ht="15" hidden="false" customHeight="false" outlineLevel="0" collapsed="false">
      <c r="A76" s="12" t="n">
        <v>72</v>
      </c>
      <c r="B76" s="13" t="n">
        <v>45706</v>
      </c>
      <c r="C76" s="12" t="s">
        <v>191</v>
      </c>
      <c r="D76" s="12" t="s">
        <v>192</v>
      </c>
      <c r="E76" s="14"/>
      <c r="F76" s="14" t="n">
        <v>1115450.99</v>
      </c>
      <c r="G76" s="14" t="n">
        <f aca="false">N(F76)-N(E76)</f>
        <v>1115450.99</v>
      </c>
      <c r="H76" s="12" t="n">
        <f aca="false">MONTH(B76)</f>
        <v>2</v>
      </c>
      <c r="I76" s="12" t="s">
        <v>1895</v>
      </c>
      <c r="J76" s="12" t="s">
        <v>1883</v>
      </c>
      <c r="K76" s="12" t="s">
        <v>1896</v>
      </c>
      <c r="L76" s="12" t="s">
        <v>1885</v>
      </c>
      <c r="M76" s="12" t="s">
        <v>1239</v>
      </c>
      <c r="N76" s="15" t="s">
        <v>1897</v>
      </c>
    </row>
    <row r="77" customFormat="false" ht="15" hidden="false" customHeight="false" outlineLevel="0" collapsed="false">
      <c r="A77" s="3" t="n">
        <v>73</v>
      </c>
      <c r="B77" s="8" t="n">
        <v>45707</v>
      </c>
      <c r="C77" s="3" t="s">
        <v>193</v>
      </c>
      <c r="D77" s="3" t="s">
        <v>194</v>
      </c>
      <c r="E77" s="9" t="n">
        <v>217100.87</v>
      </c>
      <c r="F77" s="9"/>
      <c r="G77" s="9" t="n">
        <f aca="false">N(F77)-N(E77)</f>
        <v>-217100.87</v>
      </c>
      <c r="H77" s="3" t="n">
        <f aca="false">MONTH(B77)</f>
        <v>2</v>
      </c>
      <c r="I77" s="3" t="s">
        <v>1901</v>
      </c>
      <c r="J77" s="3" t="s">
        <v>1883</v>
      </c>
      <c r="K77" s="3" t="s">
        <v>1884</v>
      </c>
      <c r="L77" s="3" t="s">
        <v>1885</v>
      </c>
      <c r="M77" s="3" t="s">
        <v>1240</v>
      </c>
      <c r="N77" s="11" t="s">
        <v>1902</v>
      </c>
    </row>
    <row r="78" customFormat="false" ht="15" hidden="false" customHeight="false" outlineLevel="0" collapsed="false">
      <c r="A78" s="3" t="n">
        <v>74</v>
      </c>
      <c r="B78" s="8" t="n">
        <v>45708</v>
      </c>
      <c r="C78" s="3" t="s">
        <v>195</v>
      </c>
      <c r="D78" s="3" t="s">
        <v>196</v>
      </c>
      <c r="E78" s="9"/>
      <c r="F78" s="9" t="n">
        <v>1603431.52</v>
      </c>
      <c r="G78" s="9" t="n">
        <f aca="false">N(F78)-N(E78)</f>
        <v>1603431.52</v>
      </c>
      <c r="H78" s="3" t="n">
        <f aca="false">MONTH(B78)</f>
        <v>2</v>
      </c>
      <c r="I78" s="3" t="s">
        <v>1886</v>
      </c>
      <c r="J78" s="3" t="s">
        <v>1883</v>
      </c>
      <c r="K78" s="3" t="s">
        <v>1884</v>
      </c>
      <c r="L78" s="3" t="s">
        <v>1885</v>
      </c>
      <c r="M78" s="3" t="s">
        <v>1243</v>
      </c>
      <c r="N78" s="11" t="s">
        <v>1887</v>
      </c>
    </row>
    <row r="79" customFormat="false" ht="15" hidden="false" customHeight="false" outlineLevel="0" collapsed="false">
      <c r="A79" s="16" t="n">
        <v>75</v>
      </c>
      <c r="B79" s="17" t="n">
        <v>45708</v>
      </c>
      <c r="C79" s="16" t="s">
        <v>197</v>
      </c>
      <c r="D79" s="16" t="s">
        <v>198</v>
      </c>
      <c r="E79" s="18" t="n">
        <v>600000</v>
      </c>
      <c r="F79" s="18"/>
      <c r="G79" s="18" t="n">
        <f aca="false">N(F79)-N(E79)</f>
        <v>-600000</v>
      </c>
      <c r="H79" s="16" t="n">
        <f aca="false">MONTH(B79)</f>
        <v>2</v>
      </c>
      <c r="I79" s="16" t="s">
        <v>1923</v>
      </c>
      <c r="J79" s="16" t="s">
        <v>1920</v>
      </c>
      <c r="K79" s="16" t="s">
        <v>1921</v>
      </c>
      <c r="L79" s="16" t="s">
        <v>1885</v>
      </c>
      <c r="M79" s="16" t="s">
        <v>1244</v>
      </c>
      <c r="N79" s="19" t="s">
        <v>1924</v>
      </c>
    </row>
    <row r="80" customFormat="false" ht="15" hidden="false" customHeight="false" outlineLevel="0" collapsed="false">
      <c r="A80" s="3" t="n">
        <v>76</v>
      </c>
      <c r="B80" s="8" t="n">
        <v>45709</v>
      </c>
      <c r="C80" s="3" t="s">
        <v>199</v>
      </c>
      <c r="D80" s="3" t="s">
        <v>200</v>
      </c>
      <c r="E80" s="9" t="n">
        <v>1217257.42</v>
      </c>
      <c r="F80" s="9"/>
      <c r="G80" s="9" t="n">
        <f aca="false">N(F80)-N(E80)</f>
        <v>-1217257.42</v>
      </c>
      <c r="H80" s="3" t="n">
        <f aca="false">MONTH(B80)</f>
        <v>2</v>
      </c>
      <c r="I80" s="3" t="s">
        <v>1904</v>
      </c>
      <c r="J80" s="3" t="s">
        <v>1883</v>
      </c>
      <c r="K80" s="3" t="s">
        <v>1884</v>
      </c>
      <c r="L80" s="3" t="s">
        <v>1885</v>
      </c>
      <c r="M80" s="3" t="s">
        <v>1241</v>
      </c>
      <c r="N80" s="11" t="s">
        <v>1905</v>
      </c>
    </row>
    <row r="81" customFormat="false" ht="15" hidden="false" customHeight="false" outlineLevel="0" collapsed="false">
      <c r="A81" s="3" t="n">
        <v>77</v>
      </c>
      <c r="B81" s="8" t="n">
        <v>45712</v>
      </c>
      <c r="C81" s="3" t="s">
        <v>201</v>
      </c>
      <c r="D81" s="3" t="s">
        <v>202</v>
      </c>
      <c r="E81" s="9"/>
      <c r="F81" s="9" t="n">
        <v>2774400</v>
      </c>
      <c r="G81" s="9" t="n">
        <f aca="false">N(F81)-N(E81)</f>
        <v>2774400</v>
      </c>
      <c r="H81" s="3" t="n">
        <f aca="false">MONTH(B81)</f>
        <v>2</v>
      </c>
      <c r="I81" s="3" t="s">
        <v>1882</v>
      </c>
      <c r="J81" s="3" t="s">
        <v>1883</v>
      </c>
      <c r="K81" s="3" t="s">
        <v>1884</v>
      </c>
      <c r="L81" s="3" t="s">
        <v>1885</v>
      </c>
      <c r="M81" s="3" t="s">
        <v>1246</v>
      </c>
      <c r="N81" s="11"/>
    </row>
    <row r="82" customFormat="false" ht="15" hidden="false" customHeight="false" outlineLevel="0" collapsed="false">
      <c r="A82" s="3" t="n">
        <v>78</v>
      </c>
      <c r="B82" s="8" t="n">
        <v>45712</v>
      </c>
      <c r="C82" s="3" t="s">
        <v>203</v>
      </c>
      <c r="D82" s="3" t="s">
        <v>204</v>
      </c>
      <c r="E82" s="9"/>
      <c r="F82" s="9" t="n">
        <v>2325200</v>
      </c>
      <c r="G82" s="9" t="n">
        <f aca="false">N(F82)-N(E82)</f>
        <v>2325200</v>
      </c>
      <c r="H82" s="3" t="n">
        <f aca="false">MONTH(B82)</f>
        <v>2</v>
      </c>
      <c r="I82" s="3" t="s">
        <v>1882</v>
      </c>
      <c r="J82" s="3" t="s">
        <v>1883</v>
      </c>
      <c r="K82" s="3" t="s">
        <v>1884</v>
      </c>
      <c r="L82" s="3" t="s">
        <v>1885</v>
      </c>
      <c r="M82" s="3" t="s">
        <v>1248</v>
      </c>
      <c r="N82" s="11"/>
    </row>
    <row r="83" customFormat="false" ht="15" hidden="false" customHeight="false" outlineLevel="0" collapsed="false">
      <c r="A83" s="3" t="n">
        <v>79</v>
      </c>
      <c r="B83" s="8" t="n">
        <v>45712</v>
      </c>
      <c r="C83" s="3" t="s">
        <v>205</v>
      </c>
      <c r="D83" s="3" t="s">
        <v>206</v>
      </c>
      <c r="E83" s="9"/>
      <c r="F83" s="9" t="n">
        <v>577879.19</v>
      </c>
      <c r="G83" s="9" t="n">
        <f aca="false">N(F83)-N(E83)</f>
        <v>577879.19</v>
      </c>
      <c r="H83" s="3" t="n">
        <f aca="false">MONTH(B83)</f>
        <v>2</v>
      </c>
      <c r="I83" s="3" t="s">
        <v>1891</v>
      </c>
      <c r="J83" s="3" t="s">
        <v>1883</v>
      </c>
      <c r="K83" s="3" t="s">
        <v>1884</v>
      </c>
      <c r="L83" s="3" t="s">
        <v>1885</v>
      </c>
      <c r="M83" s="3" t="s">
        <v>1250</v>
      </c>
      <c r="N83" s="11" t="s">
        <v>1892</v>
      </c>
    </row>
    <row r="84" customFormat="false" ht="15" hidden="false" customHeight="false" outlineLevel="0" collapsed="false">
      <c r="A84" s="3" t="n">
        <v>80</v>
      </c>
      <c r="B84" s="8" t="n">
        <v>45712</v>
      </c>
      <c r="C84" s="3" t="s">
        <v>207</v>
      </c>
      <c r="D84" s="3" t="s">
        <v>208</v>
      </c>
      <c r="E84" s="9" t="n">
        <v>96669.86</v>
      </c>
      <c r="F84" s="9"/>
      <c r="G84" s="9" t="n">
        <f aca="false">N(F84)-N(E84)</f>
        <v>-96669.86</v>
      </c>
      <c r="H84" s="3" t="n">
        <f aca="false">MONTH(B84)</f>
        <v>2</v>
      </c>
      <c r="I84" s="3" t="s">
        <v>1906</v>
      </c>
      <c r="J84" s="3" t="s">
        <v>1883</v>
      </c>
      <c r="K84" s="3" t="s">
        <v>1884</v>
      </c>
      <c r="L84" s="3" t="s">
        <v>1885</v>
      </c>
      <c r="M84" s="3" t="s">
        <v>1251</v>
      </c>
      <c r="N84" s="11"/>
    </row>
    <row r="85" customFormat="false" ht="15" hidden="false" customHeight="false" outlineLevel="0" collapsed="false">
      <c r="A85" s="3" t="n">
        <v>81</v>
      </c>
      <c r="B85" s="8" t="n">
        <v>45714</v>
      </c>
      <c r="C85" s="3" t="s">
        <v>209</v>
      </c>
      <c r="D85" s="3" t="s">
        <v>210</v>
      </c>
      <c r="E85" s="9" t="n">
        <v>2335800</v>
      </c>
      <c r="F85" s="9"/>
      <c r="G85" s="9" t="n">
        <f aca="false">N(F85)-N(E85)</f>
        <v>-2335800</v>
      </c>
      <c r="H85" s="3" t="n">
        <f aca="false">MONTH(B85)</f>
        <v>2</v>
      </c>
      <c r="I85" s="3" t="s">
        <v>1899</v>
      </c>
      <c r="J85" s="3" t="s">
        <v>1883</v>
      </c>
      <c r="K85" s="3" t="s">
        <v>1884</v>
      </c>
      <c r="L85" s="3" t="s">
        <v>1885</v>
      </c>
      <c r="M85" s="3" t="s">
        <v>1252</v>
      </c>
      <c r="N85" s="11"/>
    </row>
    <row r="86" customFormat="false" ht="15" hidden="false" customHeight="false" outlineLevel="0" collapsed="false">
      <c r="A86" s="3" t="n">
        <v>82</v>
      </c>
      <c r="B86" s="8" t="n">
        <v>45715</v>
      </c>
      <c r="C86" s="3" t="s">
        <v>211</v>
      </c>
      <c r="D86" s="3" t="s">
        <v>212</v>
      </c>
      <c r="E86" s="9"/>
      <c r="F86" s="9" t="n">
        <v>3450300</v>
      </c>
      <c r="G86" s="9" t="n">
        <f aca="false">N(F86)-N(E86)</f>
        <v>3450300</v>
      </c>
      <c r="H86" s="3" t="n">
        <f aca="false">MONTH(B86)</f>
        <v>2</v>
      </c>
      <c r="I86" s="3" t="s">
        <v>1882</v>
      </c>
      <c r="J86" s="3" t="s">
        <v>1883</v>
      </c>
      <c r="K86" s="3" t="s">
        <v>1884</v>
      </c>
      <c r="L86" s="3" t="s">
        <v>1885</v>
      </c>
      <c r="M86" s="3" t="s">
        <v>1254</v>
      </c>
      <c r="N86" s="11"/>
    </row>
    <row r="87" customFormat="false" ht="15" hidden="false" customHeight="false" outlineLevel="0" collapsed="false">
      <c r="A87" s="3" t="n">
        <v>83</v>
      </c>
      <c r="B87" s="8" t="n">
        <v>45715</v>
      </c>
      <c r="C87" s="3" t="s">
        <v>213</v>
      </c>
      <c r="D87" s="3" t="s">
        <v>214</v>
      </c>
      <c r="E87" s="9"/>
      <c r="F87" s="9" t="n">
        <v>1347294.17</v>
      </c>
      <c r="G87" s="9" t="n">
        <f aca="false">N(F87)-N(E87)</f>
        <v>1347294.17</v>
      </c>
      <c r="H87" s="3" t="n">
        <f aca="false">MONTH(B87)</f>
        <v>2</v>
      </c>
      <c r="I87" s="3" t="s">
        <v>1886</v>
      </c>
      <c r="J87" s="3" t="s">
        <v>1883</v>
      </c>
      <c r="K87" s="3" t="s">
        <v>1884</v>
      </c>
      <c r="L87" s="3" t="s">
        <v>1885</v>
      </c>
      <c r="M87" s="3" t="s">
        <v>1256</v>
      </c>
      <c r="N87" s="11" t="s">
        <v>1887</v>
      </c>
    </row>
    <row r="88" customFormat="false" ht="15" hidden="false" customHeight="false" outlineLevel="0" collapsed="false">
      <c r="A88" s="3" t="n">
        <v>84</v>
      </c>
      <c r="B88" s="8" t="n">
        <v>45715</v>
      </c>
      <c r="C88" s="3" t="s">
        <v>215</v>
      </c>
      <c r="D88" s="3" t="s">
        <v>216</v>
      </c>
      <c r="E88" s="9" t="n">
        <v>3781200</v>
      </c>
      <c r="F88" s="9"/>
      <c r="G88" s="9" t="n">
        <f aca="false">N(F88)-N(E88)</f>
        <v>-3781200</v>
      </c>
      <c r="H88" s="3" t="n">
        <f aca="false">MONTH(B88)</f>
        <v>2</v>
      </c>
      <c r="I88" s="3" t="s">
        <v>1910</v>
      </c>
      <c r="J88" s="3" t="s">
        <v>1883</v>
      </c>
      <c r="K88" s="3" t="s">
        <v>1884</v>
      </c>
      <c r="L88" s="3" t="s">
        <v>1885</v>
      </c>
      <c r="M88" s="3" t="s">
        <v>1257</v>
      </c>
      <c r="N88" s="11"/>
    </row>
    <row r="89" customFormat="false" ht="15" hidden="false" customHeight="false" outlineLevel="0" collapsed="false">
      <c r="A89" s="12" t="n">
        <v>85</v>
      </c>
      <c r="B89" s="13" t="n">
        <v>45716</v>
      </c>
      <c r="C89" s="12" t="s">
        <v>217</v>
      </c>
      <c r="D89" s="12" t="s">
        <v>192</v>
      </c>
      <c r="E89" s="14"/>
      <c r="F89" s="14" t="n">
        <v>449991.16</v>
      </c>
      <c r="G89" s="14" t="n">
        <f aca="false">N(F89)-N(E89)</f>
        <v>449991.16</v>
      </c>
      <c r="H89" s="12" t="n">
        <f aca="false">MONTH(B89)</f>
        <v>2</v>
      </c>
      <c r="I89" s="12" t="s">
        <v>1895</v>
      </c>
      <c r="J89" s="12" t="s">
        <v>1883</v>
      </c>
      <c r="K89" s="12" t="s">
        <v>1896</v>
      </c>
      <c r="L89" s="12" t="s">
        <v>1885</v>
      </c>
      <c r="M89" s="12" t="s">
        <v>1259</v>
      </c>
      <c r="N89" s="15" t="s">
        <v>1897</v>
      </c>
    </row>
    <row r="90" customFormat="false" ht="15" hidden="false" customHeight="false" outlineLevel="0" collapsed="false">
      <c r="A90" s="3" t="n">
        <v>86</v>
      </c>
      <c r="B90" s="8" t="n">
        <v>45716</v>
      </c>
      <c r="C90" s="3" t="s">
        <v>218</v>
      </c>
      <c r="D90" s="3" t="s">
        <v>219</v>
      </c>
      <c r="E90" s="9" t="n">
        <v>194057.56</v>
      </c>
      <c r="F90" s="9"/>
      <c r="G90" s="9" t="n">
        <f aca="false">N(F90)-N(E90)</f>
        <v>-194057.56</v>
      </c>
      <c r="H90" s="3" t="n">
        <f aca="false">MONTH(B90)</f>
        <v>2</v>
      </c>
      <c r="I90" s="3" t="s">
        <v>1893</v>
      </c>
      <c r="J90" s="3" t="s">
        <v>1883</v>
      </c>
      <c r="K90" s="3" t="s">
        <v>1884</v>
      </c>
      <c r="L90" s="3" t="s">
        <v>1885</v>
      </c>
      <c r="M90" s="3" t="s">
        <v>1260</v>
      </c>
      <c r="N90" s="11" t="s">
        <v>1894</v>
      </c>
    </row>
    <row r="91" customFormat="false" ht="15" hidden="false" customHeight="false" outlineLevel="0" collapsed="false">
      <c r="A91" s="3" t="n">
        <v>87</v>
      </c>
      <c r="B91" s="8" t="n">
        <v>45716</v>
      </c>
      <c r="C91" s="3" t="s">
        <v>220</v>
      </c>
      <c r="D91" s="3" t="s">
        <v>221</v>
      </c>
      <c r="E91" s="9" t="n">
        <v>4500</v>
      </c>
      <c r="F91" s="9"/>
      <c r="G91" s="9" t="n">
        <f aca="false">N(F91)-N(E91)</f>
        <v>-4500</v>
      </c>
      <c r="H91" s="3" t="n">
        <f aca="false">MONTH(B91)</f>
        <v>2</v>
      </c>
      <c r="I91" s="3" t="s">
        <v>1911</v>
      </c>
      <c r="J91" s="3" t="s">
        <v>1883</v>
      </c>
      <c r="K91" s="3" t="s">
        <v>1884</v>
      </c>
      <c r="L91" s="3" t="s">
        <v>1912</v>
      </c>
      <c r="M91" s="3" t="s">
        <v>1263</v>
      </c>
      <c r="N91" s="11" t="s">
        <v>1913</v>
      </c>
    </row>
    <row r="92" customFormat="false" ht="15" hidden="false" customHeight="false" outlineLevel="0" collapsed="false">
      <c r="A92" s="3" t="n">
        <v>88</v>
      </c>
      <c r="B92" s="8" t="n">
        <v>45716</v>
      </c>
      <c r="C92" s="3" t="s">
        <v>222</v>
      </c>
      <c r="D92" s="3" t="s">
        <v>136</v>
      </c>
      <c r="E92" s="9" t="n">
        <v>4721.53</v>
      </c>
      <c r="F92" s="9"/>
      <c r="G92" s="9" t="n">
        <f aca="false">N(F92)-N(E92)</f>
        <v>-4721.53</v>
      </c>
      <c r="H92" s="3" t="n">
        <f aca="false">MONTH(B92)</f>
        <v>2</v>
      </c>
      <c r="I92" s="3" t="s">
        <v>1911</v>
      </c>
      <c r="J92" s="3" t="s">
        <v>1883</v>
      </c>
      <c r="K92" s="3" t="s">
        <v>1884</v>
      </c>
      <c r="L92" s="3" t="s">
        <v>1912</v>
      </c>
      <c r="M92" s="3" t="s">
        <v>1263</v>
      </c>
      <c r="N92" s="11" t="s">
        <v>1913</v>
      </c>
    </row>
    <row r="93" customFormat="false" ht="15" hidden="false" customHeight="false" outlineLevel="0" collapsed="false">
      <c r="A93" s="3" t="n">
        <v>89</v>
      </c>
      <c r="B93" s="8" t="n">
        <v>45716</v>
      </c>
      <c r="C93" s="3" t="s">
        <v>223</v>
      </c>
      <c r="D93" s="3" t="s">
        <v>224</v>
      </c>
      <c r="E93" s="9" t="n">
        <v>300</v>
      </c>
      <c r="F93" s="9"/>
      <c r="G93" s="9" t="n">
        <f aca="false">N(F93)-N(E93)</f>
        <v>-300</v>
      </c>
      <c r="H93" s="3" t="n">
        <f aca="false">MONTH(B93)</f>
        <v>2</v>
      </c>
      <c r="I93" s="3" t="s">
        <v>1911</v>
      </c>
      <c r="J93" s="3" t="s">
        <v>1883</v>
      </c>
      <c r="K93" s="3" t="s">
        <v>1884</v>
      </c>
      <c r="L93" s="3" t="s">
        <v>1912</v>
      </c>
      <c r="M93" s="3" t="s">
        <v>1263</v>
      </c>
      <c r="N93" s="11" t="s">
        <v>1913</v>
      </c>
    </row>
    <row r="94" customFormat="false" ht="15" hidden="false" customHeight="false" outlineLevel="0" collapsed="false">
      <c r="A94" s="3" t="n">
        <v>90</v>
      </c>
      <c r="B94" s="8" t="n">
        <v>45716</v>
      </c>
      <c r="C94" s="3" t="s">
        <v>225</v>
      </c>
      <c r="D94" s="3" t="s">
        <v>140</v>
      </c>
      <c r="E94" s="9" t="n">
        <v>714.11</v>
      </c>
      <c r="F94" s="9"/>
      <c r="G94" s="9" t="n">
        <f aca="false">N(F94)-N(E94)</f>
        <v>-714.11</v>
      </c>
      <c r="H94" s="3" t="n">
        <f aca="false">MONTH(B94)</f>
        <v>2</v>
      </c>
      <c r="I94" s="3" t="s">
        <v>1911</v>
      </c>
      <c r="J94" s="3" t="s">
        <v>1883</v>
      </c>
      <c r="K94" s="3" t="s">
        <v>1884</v>
      </c>
      <c r="L94" s="3" t="s">
        <v>1912</v>
      </c>
      <c r="M94" s="3" t="s">
        <v>1263</v>
      </c>
      <c r="N94" s="11" t="s">
        <v>1913</v>
      </c>
    </row>
    <row r="95" customFormat="false" ht="15" hidden="false" customHeight="false" outlineLevel="0" collapsed="false">
      <c r="A95" s="3" t="n">
        <v>91</v>
      </c>
      <c r="B95" s="8" t="n">
        <v>45716</v>
      </c>
      <c r="C95" s="3" t="s">
        <v>226</v>
      </c>
      <c r="D95" s="3" t="s">
        <v>227</v>
      </c>
      <c r="E95" s="9" t="n">
        <v>900</v>
      </c>
      <c r="F95" s="9"/>
      <c r="G95" s="9" t="n">
        <f aca="false">N(F95)-N(E95)</f>
        <v>-900</v>
      </c>
      <c r="H95" s="3" t="n">
        <f aca="false">MONTH(B95)</f>
        <v>2</v>
      </c>
      <c r="I95" s="3" t="s">
        <v>1914</v>
      </c>
      <c r="J95" s="3" t="s">
        <v>1883</v>
      </c>
      <c r="K95" s="3" t="s">
        <v>1884</v>
      </c>
      <c r="L95" s="3" t="s">
        <v>1912</v>
      </c>
      <c r="M95" s="3" t="s">
        <v>1263</v>
      </c>
      <c r="N95" s="11" t="s">
        <v>1913</v>
      </c>
    </row>
    <row r="96" customFormat="false" ht="15" hidden="false" customHeight="false" outlineLevel="0" collapsed="false">
      <c r="A96" s="3" t="n">
        <v>92</v>
      </c>
      <c r="B96" s="8" t="n">
        <v>45719</v>
      </c>
      <c r="C96" s="3" t="s">
        <v>228</v>
      </c>
      <c r="D96" s="3" t="s">
        <v>229</v>
      </c>
      <c r="E96" s="9"/>
      <c r="F96" s="9" t="n">
        <v>1463500</v>
      </c>
      <c r="G96" s="9" t="n">
        <f aca="false">N(F96)-N(E96)</f>
        <v>1463500</v>
      </c>
      <c r="H96" s="3" t="n">
        <f aca="false">MONTH(B96)</f>
        <v>3</v>
      </c>
      <c r="I96" s="3" t="s">
        <v>1882</v>
      </c>
      <c r="J96" s="3" t="s">
        <v>1883</v>
      </c>
      <c r="K96" s="3" t="s">
        <v>1884</v>
      </c>
      <c r="L96" s="3" t="s">
        <v>1885</v>
      </c>
      <c r="M96" s="3" t="s">
        <v>1265</v>
      </c>
      <c r="N96" s="11"/>
    </row>
    <row r="97" customFormat="false" ht="15" hidden="false" customHeight="false" outlineLevel="0" collapsed="false">
      <c r="A97" s="3" t="n">
        <v>93</v>
      </c>
      <c r="B97" s="8" t="n">
        <v>45719</v>
      </c>
      <c r="C97" s="3" t="s">
        <v>230</v>
      </c>
      <c r="D97" s="3" t="s">
        <v>231</v>
      </c>
      <c r="E97" s="9" t="n">
        <v>211000</v>
      </c>
      <c r="F97" s="9"/>
      <c r="G97" s="9" t="n">
        <f aca="false">N(F97)-N(E97)</f>
        <v>-211000</v>
      </c>
      <c r="H97" s="3" t="n">
        <f aca="false">MONTH(B97)</f>
        <v>3</v>
      </c>
      <c r="I97" s="3" t="s">
        <v>1888</v>
      </c>
      <c r="J97" s="3" t="s">
        <v>1883</v>
      </c>
      <c r="K97" s="3" t="s">
        <v>1884</v>
      </c>
      <c r="L97" s="3" t="s">
        <v>1915</v>
      </c>
      <c r="M97" s="3" t="s">
        <v>1261</v>
      </c>
      <c r="N97" s="11"/>
    </row>
    <row r="98" customFormat="false" ht="15" hidden="false" customHeight="false" outlineLevel="0" collapsed="false">
      <c r="A98" s="3" t="n">
        <v>94</v>
      </c>
      <c r="B98" s="8" t="n">
        <v>45721</v>
      </c>
      <c r="C98" s="3" t="s">
        <v>232</v>
      </c>
      <c r="D98" s="3" t="s">
        <v>233</v>
      </c>
      <c r="E98" s="9"/>
      <c r="F98" s="9" t="n">
        <v>3249500</v>
      </c>
      <c r="G98" s="9" t="n">
        <f aca="false">N(F98)-N(E98)</f>
        <v>3249500</v>
      </c>
      <c r="H98" s="3" t="n">
        <f aca="false">MONTH(B98)</f>
        <v>3</v>
      </c>
      <c r="I98" s="3" t="s">
        <v>1882</v>
      </c>
      <c r="J98" s="3" t="s">
        <v>1883</v>
      </c>
      <c r="K98" s="3" t="s">
        <v>1884</v>
      </c>
      <c r="L98" s="3" t="s">
        <v>1885</v>
      </c>
      <c r="M98" s="3" t="s">
        <v>1267</v>
      </c>
      <c r="N98" s="11"/>
    </row>
    <row r="99" customFormat="false" ht="15" hidden="false" customHeight="false" outlineLevel="0" collapsed="false">
      <c r="A99" s="3" t="n">
        <v>95</v>
      </c>
      <c r="B99" s="8" t="n">
        <v>45721</v>
      </c>
      <c r="C99" s="3" t="s">
        <v>234</v>
      </c>
      <c r="D99" s="3" t="s">
        <v>235</v>
      </c>
      <c r="E99" s="9" t="n">
        <v>85000</v>
      </c>
      <c r="F99" s="9"/>
      <c r="G99" s="9" t="n">
        <f aca="false">N(F99)-N(E99)</f>
        <v>-85000</v>
      </c>
      <c r="H99" s="3" t="n">
        <f aca="false">MONTH(B99)</f>
        <v>3</v>
      </c>
      <c r="I99" s="3" t="s">
        <v>1888</v>
      </c>
      <c r="J99" s="3" t="s">
        <v>1883</v>
      </c>
      <c r="K99" s="3" t="s">
        <v>1884</v>
      </c>
      <c r="L99" s="3" t="s">
        <v>1915</v>
      </c>
      <c r="M99" s="3" t="s">
        <v>1262</v>
      </c>
      <c r="N99" s="11"/>
    </row>
    <row r="100" customFormat="false" ht="15" hidden="false" customHeight="false" outlineLevel="0" collapsed="false">
      <c r="A100" s="3" t="n">
        <v>96</v>
      </c>
      <c r="B100" s="8" t="n">
        <v>45721</v>
      </c>
      <c r="C100" s="3" t="s">
        <v>236</v>
      </c>
      <c r="D100" s="3" t="s">
        <v>237</v>
      </c>
      <c r="E100" s="9" t="n">
        <v>216549.7</v>
      </c>
      <c r="F100" s="9"/>
      <c r="G100" s="9" t="n">
        <f aca="false">N(F100)-N(E100)</f>
        <v>-216549.7</v>
      </c>
      <c r="H100" s="3" t="n">
        <f aca="false">MONTH(B100)</f>
        <v>3</v>
      </c>
      <c r="I100" s="3" t="s">
        <v>1893</v>
      </c>
      <c r="J100" s="3" t="s">
        <v>1883</v>
      </c>
      <c r="K100" s="3" t="s">
        <v>1884</v>
      </c>
      <c r="L100" s="3" t="s">
        <v>1885</v>
      </c>
      <c r="M100" s="3" t="s">
        <v>1269</v>
      </c>
      <c r="N100" s="11" t="s">
        <v>1894</v>
      </c>
    </row>
    <row r="101" customFormat="false" ht="15" hidden="false" customHeight="false" outlineLevel="0" collapsed="false">
      <c r="A101" s="3" t="n">
        <v>97</v>
      </c>
      <c r="B101" s="8" t="n">
        <v>45721</v>
      </c>
      <c r="C101" s="3" t="s">
        <v>238</v>
      </c>
      <c r="D101" s="3" t="s">
        <v>239</v>
      </c>
      <c r="E101" s="9" t="n">
        <v>305873.48</v>
      </c>
      <c r="F101" s="9"/>
      <c r="G101" s="9" t="n">
        <f aca="false">N(F101)-N(E101)</f>
        <v>-305873.48</v>
      </c>
      <c r="H101" s="3" t="n">
        <f aca="false">MONTH(B101)</f>
        <v>3</v>
      </c>
      <c r="I101" s="3" t="s">
        <v>1901</v>
      </c>
      <c r="J101" s="3" t="s">
        <v>1883</v>
      </c>
      <c r="K101" s="3" t="s">
        <v>1884</v>
      </c>
      <c r="L101" s="3" t="s">
        <v>1885</v>
      </c>
      <c r="M101" s="3" t="s">
        <v>1270</v>
      </c>
      <c r="N101" s="11" t="s">
        <v>1902</v>
      </c>
    </row>
    <row r="102" customFormat="false" ht="15" hidden="false" customHeight="false" outlineLevel="0" collapsed="false">
      <c r="A102" s="3" t="n">
        <v>98</v>
      </c>
      <c r="B102" s="8" t="n">
        <v>45722</v>
      </c>
      <c r="C102" s="3" t="s">
        <v>240</v>
      </c>
      <c r="D102" s="3" t="s">
        <v>241</v>
      </c>
      <c r="E102" s="9"/>
      <c r="F102" s="9" t="n">
        <v>1912292.87</v>
      </c>
      <c r="G102" s="9" t="n">
        <f aca="false">N(F102)-N(E102)</f>
        <v>1912292.87</v>
      </c>
      <c r="H102" s="3" t="n">
        <f aca="false">MONTH(B102)</f>
        <v>3</v>
      </c>
      <c r="I102" s="3" t="s">
        <v>1886</v>
      </c>
      <c r="J102" s="3" t="s">
        <v>1883</v>
      </c>
      <c r="K102" s="3" t="s">
        <v>1884</v>
      </c>
      <c r="L102" s="3" t="s">
        <v>1885</v>
      </c>
      <c r="M102" s="3" t="s">
        <v>1271</v>
      </c>
      <c r="N102" s="11" t="s">
        <v>1887</v>
      </c>
    </row>
    <row r="103" customFormat="false" ht="15" hidden="false" customHeight="false" outlineLevel="0" collapsed="false">
      <c r="A103" s="12" t="n">
        <v>99</v>
      </c>
      <c r="B103" s="13" t="n">
        <v>45722</v>
      </c>
      <c r="C103" s="12" t="s">
        <v>242</v>
      </c>
      <c r="D103" s="12" t="s">
        <v>243</v>
      </c>
      <c r="E103" s="14"/>
      <c r="F103" s="14" t="n">
        <v>1250000</v>
      </c>
      <c r="G103" s="14" t="n">
        <f aca="false">N(F103)-N(E103)</f>
        <v>1250000</v>
      </c>
      <c r="H103" s="12" t="n">
        <f aca="false">MONTH(B103)</f>
        <v>3</v>
      </c>
      <c r="I103" s="12" t="s">
        <v>1925</v>
      </c>
      <c r="J103" s="12" t="s">
        <v>1926</v>
      </c>
      <c r="K103" s="12" t="s">
        <v>1896</v>
      </c>
      <c r="L103" s="12" t="s">
        <v>1885</v>
      </c>
      <c r="M103" s="12" t="s">
        <v>1274</v>
      </c>
      <c r="N103" s="15" t="s">
        <v>1927</v>
      </c>
    </row>
    <row r="104" customFormat="false" ht="15" hidden="false" customHeight="false" outlineLevel="0" collapsed="false">
      <c r="A104" s="12" t="n">
        <v>100</v>
      </c>
      <c r="B104" s="13" t="n">
        <v>45726</v>
      </c>
      <c r="C104" s="12" t="s">
        <v>244</v>
      </c>
      <c r="D104" s="12" t="s">
        <v>245</v>
      </c>
      <c r="E104" s="14"/>
      <c r="F104" s="14" t="n">
        <v>1584900</v>
      </c>
      <c r="G104" s="14" t="n">
        <f aca="false">N(F104)-N(E104)</f>
        <v>1584900</v>
      </c>
      <c r="H104" s="12" t="n">
        <f aca="false">MONTH(B104)</f>
        <v>3</v>
      </c>
      <c r="I104" s="12" t="s">
        <v>1882</v>
      </c>
      <c r="J104" s="12" t="s">
        <v>1883</v>
      </c>
      <c r="K104" s="12" t="s">
        <v>1896</v>
      </c>
      <c r="L104" s="12" t="s">
        <v>1885</v>
      </c>
      <c r="M104" s="12" t="s">
        <v>1276</v>
      </c>
      <c r="N104" s="15" t="s">
        <v>1907</v>
      </c>
    </row>
    <row r="105" customFormat="false" ht="15" hidden="false" customHeight="false" outlineLevel="0" collapsed="false">
      <c r="A105" s="3" t="n">
        <v>101</v>
      </c>
      <c r="B105" s="8" t="n">
        <v>45726</v>
      </c>
      <c r="C105" s="3" t="s">
        <v>246</v>
      </c>
      <c r="D105" s="3" t="s">
        <v>247</v>
      </c>
      <c r="E105" s="9"/>
      <c r="F105" s="9" t="n">
        <v>2186300</v>
      </c>
      <c r="G105" s="9" t="n">
        <f aca="false">N(F105)-N(E105)</f>
        <v>2186300</v>
      </c>
      <c r="H105" s="3" t="n">
        <f aca="false">MONTH(B105)</f>
        <v>3</v>
      </c>
      <c r="I105" s="3" t="s">
        <v>1882</v>
      </c>
      <c r="J105" s="3" t="s">
        <v>1883</v>
      </c>
      <c r="K105" s="3" t="s">
        <v>1884</v>
      </c>
      <c r="L105" s="3" t="s">
        <v>1885</v>
      </c>
      <c r="M105" s="3" t="s">
        <v>1280</v>
      </c>
      <c r="N105" s="11"/>
    </row>
    <row r="106" customFormat="false" ht="15" hidden="false" customHeight="false" outlineLevel="0" collapsed="false">
      <c r="A106" s="3" t="n">
        <v>102</v>
      </c>
      <c r="B106" s="8" t="n">
        <v>45726</v>
      </c>
      <c r="C106" s="3" t="s">
        <v>248</v>
      </c>
      <c r="D106" s="3" t="s">
        <v>249</v>
      </c>
      <c r="E106" s="9"/>
      <c r="F106" s="9" t="n">
        <v>655343.13</v>
      </c>
      <c r="G106" s="9" t="n">
        <f aca="false">N(F106)-N(E106)</f>
        <v>655343.13</v>
      </c>
      <c r="H106" s="3" t="n">
        <f aca="false">MONTH(B106)</f>
        <v>3</v>
      </c>
      <c r="I106" s="3" t="s">
        <v>1891</v>
      </c>
      <c r="J106" s="3" t="s">
        <v>1883</v>
      </c>
      <c r="K106" s="3" t="s">
        <v>1884</v>
      </c>
      <c r="L106" s="3" t="s">
        <v>1885</v>
      </c>
      <c r="M106" s="3" t="s">
        <v>1282</v>
      </c>
      <c r="N106" s="11" t="s">
        <v>1892</v>
      </c>
    </row>
    <row r="107" customFormat="false" ht="15" hidden="false" customHeight="false" outlineLevel="0" collapsed="false">
      <c r="A107" s="12" t="n">
        <v>103</v>
      </c>
      <c r="B107" s="13" t="n">
        <v>45726</v>
      </c>
      <c r="C107" s="12" t="s">
        <v>250</v>
      </c>
      <c r="D107" s="12" t="s">
        <v>251</v>
      </c>
      <c r="E107" s="14"/>
      <c r="F107" s="14" t="n">
        <v>1670172.55</v>
      </c>
      <c r="G107" s="14" t="n">
        <f aca="false">N(F107)-N(E107)</f>
        <v>1670172.55</v>
      </c>
      <c r="H107" s="12" t="n">
        <f aca="false">MONTH(B107)</f>
        <v>3</v>
      </c>
      <c r="I107" s="12" t="s">
        <v>1895</v>
      </c>
      <c r="J107" s="12" t="s">
        <v>1883</v>
      </c>
      <c r="K107" s="12" t="s">
        <v>1896</v>
      </c>
      <c r="L107" s="12" t="s">
        <v>1885</v>
      </c>
      <c r="M107" s="12" t="s">
        <v>1283</v>
      </c>
      <c r="N107" s="15" t="s">
        <v>1897</v>
      </c>
    </row>
    <row r="108" customFormat="false" ht="15" hidden="false" customHeight="false" outlineLevel="0" collapsed="false">
      <c r="A108" s="3" t="n">
        <v>104</v>
      </c>
      <c r="B108" s="8" t="n">
        <v>45726</v>
      </c>
      <c r="C108" s="3" t="s">
        <v>252</v>
      </c>
      <c r="D108" s="3" t="s">
        <v>253</v>
      </c>
      <c r="E108" s="9" t="n">
        <v>450800</v>
      </c>
      <c r="F108" s="9"/>
      <c r="G108" s="9" t="n">
        <f aca="false">N(F108)-N(E108)</f>
        <v>-450800</v>
      </c>
      <c r="H108" s="3" t="n">
        <f aca="false">MONTH(B108)</f>
        <v>3</v>
      </c>
      <c r="I108" s="3" t="s">
        <v>1898</v>
      </c>
      <c r="J108" s="3" t="s">
        <v>1883</v>
      </c>
      <c r="K108" s="3" t="s">
        <v>1884</v>
      </c>
      <c r="L108" s="3" t="s">
        <v>1885</v>
      </c>
      <c r="M108" s="3" t="s">
        <v>1284</v>
      </c>
      <c r="N108" s="11"/>
    </row>
    <row r="109" customFormat="false" ht="15" hidden="false" customHeight="false" outlineLevel="0" collapsed="false">
      <c r="A109" s="12" t="n">
        <v>105</v>
      </c>
      <c r="B109" s="13" t="n">
        <v>45726</v>
      </c>
      <c r="C109" s="12" t="s">
        <v>254</v>
      </c>
      <c r="D109" s="12" t="s">
        <v>255</v>
      </c>
      <c r="E109" s="14" t="n">
        <v>618000</v>
      </c>
      <c r="F109" s="14"/>
      <c r="G109" s="14" t="n">
        <f aca="false">N(F109)-N(E109)</f>
        <v>-618000</v>
      </c>
      <c r="H109" s="12" t="n">
        <f aca="false">MONTH(B109)</f>
        <v>3</v>
      </c>
      <c r="I109" s="12" t="s">
        <v>1908</v>
      </c>
      <c r="J109" s="12" t="s">
        <v>1883</v>
      </c>
      <c r="K109" s="12" t="s">
        <v>1896</v>
      </c>
      <c r="L109" s="12" t="s">
        <v>1885</v>
      </c>
      <c r="M109" s="12" t="s">
        <v>1286</v>
      </c>
      <c r="N109" s="15" t="s">
        <v>1909</v>
      </c>
    </row>
    <row r="110" customFormat="false" ht="15" hidden="false" customHeight="false" outlineLevel="0" collapsed="false">
      <c r="A110" s="3" t="n">
        <v>106</v>
      </c>
      <c r="B110" s="8" t="n">
        <v>45726</v>
      </c>
      <c r="C110" s="3" t="s">
        <v>256</v>
      </c>
      <c r="D110" s="3" t="s">
        <v>257</v>
      </c>
      <c r="E110" s="9"/>
      <c r="F110" s="9" t="n">
        <v>20000000</v>
      </c>
      <c r="G110" s="9" t="n">
        <f aca="false">N(F110)-N(E110)</f>
        <v>20000000</v>
      </c>
      <c r="H110" s="3" t="n">
        <f aca="false">MONTH(B110)</f>
        <v>3</v>
      </c>
      <c r="I110" s="3" t="s">
        <v>1928</v>
      </c>
      <c r="J110" s="3" t="s">
        <v>1920</v>
      </c>
      <c r="K110" s="3" t="s">
        <v>1884</v>
      </c>
      <c r="L110" s="3" t="s">
        <v>1885</v>
      </c>
      <c r="M110" s="3" t="s">
        <v>1287</v>
      </c>
      <c r="N110" s="11" t="s">
        <v>1929</v>
      </c>
    </row>
    <row r="111" customFormat="false" ht="15" hidden="false" customHeight="false" outlineLevel="0" collapsed="false">
      <c r="A111" s="3" t="n">
        <v>107</v>
      </c>
      <c r="B111" s="8" t="n">
        <v>45726</v>
      </c>
      <c r="C111" s="3" t="s">
        <v>258</v>
      </c>
      <c r="D111" s="3" t="s">
        <v>259</v>
      </c>
      <c r="E111" s="9" t="n">
        <v>200000</v>
      </c>
      <c r="F111" s="9"/>
      <c r="G111" s="9" t="n">
        <f aca="false">N(F111)-N(E111)</f>
        <v>-200000</v>
      </c>
      <c r="H111" s="3" t="n">
        <f aca="false">MONTH(B111)</f>
        <v>3</v>
      </c>
      <c r="I111" s="3" t="s">
        <v>1930</v>
      </c>
      <c r="J111" s="3" t="s">
        <v>1920</v>
      </c>
      <c r="K111" s="3" t="s">
        <v>1884</v>
      </c>
      <c r="L111" s="3" t="s">
        <v>1885</v>
      </c>
      <c r="M111" s="3" t="s">
        <v>1272</v>
      </c>
      <c r="N111" s="11"/>
    </row>
    <row r="112" customFormat="false" ht="15" hidden="false" customHeight="false" outlineLevel="0" collapsed="false">
      <c r="A112" s="3" t="n">
        <v>108</v>
      </c>
      <c r="B112" s="8" t="n">
        <v>45726</v>
      </c>
      <c r="C112" s="3" t="s">
        <v>260</v>
      </c>
      <c r="D112" s="3" t="s">
        <v>261</v>
      </c>
      <c r="E112" s="9" t="n">
        <v>15000</v>
      </c>
      <c r="F112" s="9"/>
      <c r="G112" s="9" t="n">
        <f aca="false">N(F112)-N(E112)</f>
        <v>-15000</v>
      </c>
      <c r="H112" s="3" t="n">
        <f aca="false">MONTH(B112)</f>
        <v>3</v>
      </c>
      <c r="I112" s="3" t="s">
        <v>1930</v>
      </c>
      <c r="J112" s="3" t="s">
        <v>1920</v>
      </c>
      <c r="K112" s="3" t="s">
        <v>1884</v>
      </c>
      <c r="L112" s="3" t="s">
        <v>1885</v>
      </c>
      <c r="M112" s="3" t="s">
        <v>1277</v>
      </c>
      <c r="N112" s="11"/>
    </row>
    <row r="113" customFormat="false" ht="15" hidden="false" customHeight="false" outlineLevel="0" collapsed="false">
      <c r="A113" s="3" t="n">
        <v>109</v>
      </c>
      <c r="B113" s="8" t="n">
        <v>45728</v>
      </c>
      <c r="C113" s="3" t="s">
        <v>262</v>
      </c>
      <c r="D113" s="3" t="s">
        <v>263</v>
      </c>
      <c r="E113" s="9" t="n">
        <v>2777700</v>
      </c>
      <c r="F113" s="9"/>
      <c r="G113" s="9" t="n">
        <f aca="false">N(F113)-N(E113)</f>
        <v>-2777700</v>
      </c>
      <c r="H113" s="3" t="n">
        <f aca="false">MONTH(B113)</f>
        <v>3</v>
      </c>
      <c r="I113" s="3" t="s">
        <v>1893</v>
      </c>
      <c r="J113" s="3" t="s">
        <v>1883</v>
      </c>
      <c r="K113" s="3" t="s">
        <v>1884</v>
      </c>
      <c r="L113" s="3" t="s">
        <v>1885</v>
      </c>
      <c r="M113" s="3" t="s">
        <v>1291</v>
      </c>
      <c r="N113" s="11"/>
    </row>
    <row r="114" customFormat="false" ht="15" hidden="false" customHeight="false" outlineLevel="0" collapsed="false">
      <c r="A114" s="3" t="n">
        <v>110</v>
      </c>
      <c r="B114" s="8" t="n">
        <v>45728</v>
      </c>
      <c r="C114" s="3" t="s">
        <v>264</v>
      </c>
      <c r="D114" s="3" t="s">
        <v>265</v>
      </c>
      <c r="E114" s="9" t="n">
        <v>218499.03</v>
      </c>
      <c r="F114" s="9"/>
      <c r="G114" s="9" t="n">
        <f aca="false">N(F114)-N(E114)</f>
        <v>-218499.03</v>
      </c>
      <c r="H114" s="3" t="n">
        <f aca="false">MONTH(B114)</f>
        <v>3</v>
      </c>
      <c r="I114" s="3" t="s">
        <v>1900</v>
      </c>
      <c r="J114" s="3" t="s">
        <v>1883</v>
      </c>
      <c r="K114" s="3" t="s">
        <v>1884</v>
      </c>
      <c r="L114" s="3" t="s">
        <v>1885</v>
      </c>
      <c r="M114" s="3" t="s">
        <v>1279</v>
      </c>
      <c r="N114" s="11"/>
    </row>
    <row r="115" customFormat="false" ht="15" hidden="false" customHeight="false" outlineLevel="0" collapsed="false">
      <c r="A115" s="3" t="n">
        <v>111</v>
      </c>
      <c r="B115" s="8" t="n">
        <v>45729</v>
      </c>
      <c r="C115" s="3" t="s">
        <v>266</v>
      </c>
      <c r="D115" s="3" t="s">
        <v>267</v>
      </c>
      <c r="E115" s="9"/>
      <c r="F115" s="9" t="n">
        <v>1402600</v>
      </c>
      <c r="G115" s="9" t="n">
        <f aca="false">N(F115)-N(E115)</f>
        <v>1402600</v>
      </c>
      <c r="H115" s="3" t="n">
        <f aca="false">MONTH(B115)</f>
        <v>3</v>
      </c>
      <c r="I115" s="3" t="s">
        <v>1882</v>
      </c>
      <c r="J115" s="3" t="s">
        <v>1883</v>
      </c>
      <c r="K115" s="3" t="s">
        <v>1884</v>
      </c>
      <c r="L115" s="3" t="s">
        <v>1885</v>
      </c>
      <c r="M115" s="3" t="s">
        <v>1289</v>
      </c>
      <c r="N115" s="11"/>
    </row>
    <row r="116" customFormat="false" ht="15" hidden="false" customHeight="false" outlineLevel="0" collapsed="false">
      <c r="A116" s="3" t="n">
        <v>112</v>
      </c>
      <c r="B116" s="8" t="n">
        <v>45729</v>
      </c>
      <c r="C116" s="3" t="s">
        <v>268</v>
      </c>
      <c r="D116" s="3" t="s">
        <v>269</v>
      </c>
      <c r="E116" s="9"/>
      <c r="F116" s="9" t="n">
        <v>2037735.19</v>
      </c>
      <c r="G116" s="9" t="n">
        <f aca="false">N(F116)-N(E116)</f>
        <v>2037735.19</v>
      </c>
      <c r="H116" s="3" t="n">
        <f aca="false">MONTH(B116)</f>
        <v>3</v>
      </c>
      <c r="I116" s="3" t="s">
        <v>1886</v>
      </c>
      <c r="J116" s="3" t="s">
        <v>1883</v>
      </c>
      <c r="K116" s="3" t="s">
        <v>1884</v>
      </c>
      <c r="L116" s="3" t="s">
        <v>1885</v>
      </c>
      <c r="M116" s="3" t="s">
        <v>1292</v>
      </c>
      <c r="N116" s="11" t="s">
        <v>1887</v>
      </c>
    </row>
    <row r="117" customFormat="false" ht="15" hidden="false" customHeight="false" outlineLevel="0" collapsed="false">
      <c r="A117" s="3" t="n">
        <v>113</v>
      </c>
      <c r="B117" s="8" t="n">
        <v>45729</v>
      </c>
      <c r="C117" s="3" t="s">
        <v>270</v>
      </c>
      <c r="D117" s="3" t="s">
        <v>271</v>
      </c>
      <c r="E117" s="9" t="n">
        <v>1312600</v>
      </c>
      <c r="F117" s="9"/>
      <c r="G117" s="9" t="n">
        <f aca="false">N(F117)-N(E117)</f>
        <v>-1312600</v>
      </c>
      <c r="H117" s="3" t="n">
        <f aca="false">MONTH(B117)</f>
        <v>3</v>
      </c>
      <c r="I117" s="3" t="s">
        <v>1899</v>
      </c>
      <c r="J117" s="3" t="s">
        <v>1883</v>
      </c>
      <c r="K117" s="3" t="s">
        <v>1884</v>
      </c>
      <c r="L117" s="3" t="s">
        <v>1885</v>
      </c>
      <c r="M117" s="3" t="s">
        <v>1293</v>
      </c>
      <c r="N117" s="11"/>
    </row>
    <row r="118" customFormat="false" ht="15" hidden="false" customHeight="false" outlineLevel="0" collapsed="false">
      <c r="A118" s="3" t="n">
        <v>114</v>
      </c>
      <c r="B118" s="8" t="n">
        <v>45729</v>
      </c>
      <c r="C118" s="3" t="s">
        <v>272</v>
      </c>
      <c r="D118" s="3" t="s">
        <v>273</v>
      </c>
      <c r="E118" s="9" t="n">
        <v>186791.34</v>
      </c>
      <c r="F118" s="9"/>
      <c r="G118" s="9" t="n">
        <f aca="false">N(F118)-N(E118)</f>
        <v>-186791.34</v>
      </c>
      <c r="H118" s="3" t="n">
        <f aca="false">MONTH(B118)</f>
        <v>3</v>
      </c>
      <c r="I118" s="3" t="s">
        <v>1901</v>
      </c>
      <c r="J118" s="3" t="s">
        <v>1883</v>
      </c>
      <c r="K118" s="3" t="s">
        <v>1884</v>
      </c>
      <c r="L118" s="3" t="s">
        <v>1885</v>
      </c>
      <c r="M118" s="3" t="s">
        <v>1294</v>
      </c>
      <c r="N118" s="11" t="s">
        <v>1902</v>
      </c>
    </row>
    <row r="119" customFormat="false" ht="15" hidden="false" customHeight="false" outlineLevel="0" collapsed="false">
      <c r="A119" s="3" t="n">
        <v>115</v>
      </c>
      <c r="B119" s="8" t="n">
        <v>45730</v>
      </c>
      <c r="C119" s="3" t="s">
        <v>274</v>
      </c>
      <c r="D119" s="3" t="s">
        <v>275</v>
      </c>
      <c r="E119" s="9" t="n">
        <v>2400000</v>
      </c>
      <c r="F119" s="9"/>
      <c r="G119" s="9" t="n">
        <f aca="false">N(F119)-N(E119)</f>
        <v>-2400000</v>
      </c>
      <c r="H119" s="3" t="n">
        <f aca="false">MONTH(B119)</f>
        <v>3</v>
      </c>
      <c r="I119" s="3" t="s">
        <v>1931</v>
      </c>
      <c r="J119" s="3" t="s">
        <v>1883</v>
      </c>
      <c r="K119" s="3" t="s">
        <v>1884</v>
      </c>
      <c r="L119" s="3" t="s">
        <v>1885</v>
      </c>
      <c r="M119" s="3" t="s">
        <v>1295</v>
      </c>
      <c r="N119" s="11" t="s">
        <v>1932</v>
      </c>
    </row>
    <row r="120" customFormat="false" ht="15" hidden="false" customHeight="false" outlineLevel="0" collapsed="false">
      <c r="A120" s="12" t="n">
        <v>116</v>
      </c>
      <c r="B120" s="13" t="n">
        <v>45733</v>
      </c>
      <c r="C120" s="12" t="s">
        <v>276</v>
      </c>
      <c r="D120" s="12" t="s">
        <v>192</v>
      </c>
      <c r="E120" s="14"/>
      <c r="F120" s="14" t="n">
        <v>492310.18</v>
      </c>
      <c r="G120" s="14" t="n">
        <f aca="false">N(F120)-N(E120)</f>
        <v>492310.18</v>
      </c>
      <c r="H120" s="12" t="n">
        <f aca="false">MONTH(B120)</f>
        <v>3</v>
      </c>
      <c r="I120" s="12" t="s">
        <v>1895</v>
      </c>
      <c r="J120" s="12" t="s">
        <v>1883</v>
      </c>
      <c r="K120" s="12" t="s">
        <v>1896</v>
      </c>
      <c r="L120" s="12" t="s">
        <v>1885</v>
      </c>
      <c r="M120" s="12" t="s">
        <v>1299</v>
      </c>
      <c r="N120" s="15" t="s">
        <v>1897</v>
      </c>
    </row>
    <row r="121" customFormat="false" ht="15" hidden="false" customHeight="false" outlineLevel="0" collapsed="false">
      <c r="A121" s="3" t="n">
        <v>117</v>
      </c>
      <c r="B121" s="8" t="n">
        <v>45733</v>
      </c>
      <c r="C121" s="3" t="s">
        <v>277</v>
      </c>
      <c r="D121" s="3" t="s">
        <v>278</v>
      </c>
      <c r="E121" s="9" t="n">
        <v>828000</v>
      </c>
      <c r="F121" s="9"/>
      <c r="G121" s="9" t="n">
        <f aca="false">N(F121)-N(E121)</f>
        <v>-828000</v>
      </c>
      <c r="H121" s="3" t="n">
        <f aca="false">MONTH(B121)</f>
        <v>3</v>
      </c>
      <c r="I121" s="3" t="s">
        <v>1903</v>
      </c>
      <c r="J121" s="3" t="s">
        <v>1883</v>
      </c>
      <c r="K121" s="3" t="s">
        <v>1884</v>
      </c>
      <c r="L121" s="3" t="s">
        <v>1885</v>
      </c>
      <c r="M121" s="3" t="s">
        <v>1300</v>
      </c>
      <c r="N121" s="11"/>
    </row>
    <row r="122" customFormat="false" ht="15" hidden="false" customHeight="false" outlineLevel="0" collapsed="false">
      <c r="A122" s="3" t="n">
        <v>118</v>
      </c>
      <c r="B122" s="8" t="n">
        <v>45733</v>
      </c>
      <c r="C122" s="3" t="s">
        <v>279</v>
      </c>
      <c r="D122" s="3" t="s">
        <v>280</v>
      </c>
      <c r="E122" s="9" t="n">
        <v>219146.92</v>
      </c>
      <c r="F122" s="9"/>
      <c r="G122" s="9" t="n">
        <f aca="false">N(F122)-N(E122)</f>
        <v>-219146.92</v>
      </c>
      <c r="H122" s="3" t="n">
        <f aca="false">MONTH(B122)</f>
        <v>3</v>
      </c>
      <c r="I122" s="3" t="s">
        <v>1893</v>
      </c>
      <c r="J122" s="3" t="s">
        <v>1883</v>
      </c>
      <c r="K122" s="3" t="s">
        <v>1884</v>
      </c>
      <c r="L122" s="3" t="s">
        <v>1885</v>
      </c>
      <c r="M122" s="3" t="s">
        <v>1302</v>
      </c>
      <c r="N122" s="11" t="s">
        <v>1894</v>
      </c>
    </row>
    <row r="123" customFormat="false" ht="15" hidden="false" customHeight="false" outlineLevel="0" collapsed="false">
      <c r="A123" s="12" t="n">
        <v>119</v>
      </c>
      <c r="B123" s="13" t="n">
        <v>45733</v>
      </c>
      <c r="C123" s="12" t="s">
        <v>281</v>
      </c>
      <c r="D123" s="12" t="s">
        <v>282</v>
      </c>
      <c r="E123" s="14" t="n">
        <v>347600</v>
      </c>
      <c r="F123" s="14"/>
      <c r="G123" s="14" t="n">
        <f aca="false">N(F123)-N(E123)</f>
        <v>-347600</v>
      </c>
      <c r="H123" s="12" t="n">
        <f aca="false">MONTH(B123)</f>
        <v>3</v>
      </c>
      <c r="I123" s="12" t="s">
        <v>1933</v>
      </c>
      <c r="J123" s="12" t="s">
        <v>1883</v>
      </c>
      <c r="K123" s="12" t="s">
        <v>1896</v>
      </c>
      <c r="L123" s="12" t="s">
        <v>1885</v>
      </c>
      <c r="M123" s="12" t="s">
        <v>1297</v>
      </c>
      <c r="N123" s="15" t="s">
        <v>1934</v>
      </c>
    </row>
    <row r="124" customFormat="false" ht="15" hidden="false" customHeight="false" outlineLevel="0" collapsed="false">
      <c r="A124" s="3" t="n">
        <v>120</v>
      </c>
      <c r="B124" s="8" t="n">
        <v>45734</v>
      </c>
      <c r="C124" s="3" t="s">
        <v>283</v>
      </c>
      <c r="D124" s="3" t="s">
        <v>284</v>
      </c>
      <c r="E124" s="9" t="n">
        <v>303220.82</v>
      </c>
      <c r="F124" s="9"/>
      <c r="G124" s="9" t="n">
        <f aca="false">N(F124)-N(E124)</f>
        <v>-303220.82</v>
      </c>
      <c r="H124" s="3" t="n">
        <f aca="false">MONTH(B124)</f>
        <v>3</v>
      </c>
      <c r="I124" s="3" t="s">
        <v>1893</v>
      </c>
      <c r="J124" s="3" t="s">
        <v>1883</v>
      </c>
      <c r="K124" s="3" t="s">
        <v>1884</v>
      </c>
      <c r="L124" s="3" t="s">
        <v>1885</v>
      </c>
      <c r="M124" s="3" t="s">
        <v>1303</v>
      </c>
      <c r="N124" s="11" t="s">
        <v>1894</v>
      </c>
    </row>
    <row r="125" customFormat="false" ht="15" hidden="false" customHeight="false" outlineLevel="0" collapsed="false">
      <c r="A125" s="3" t="n">
        <v>121</v>
      </c>
      <c r="B125" s="8" t="n">
        <v>45735</v>
      </c>
      <c r="C125" s="3" t="s">
        <v>285</v>
      </c>
      <c r="D125" s="3" t="s">
        <v>286</v>
      </c>
      <c r="E125" s="9"/>
      <c r="F125" s="9" t="n">
        <v>1245000</v>
      </c>
      <c r="G125" s="9" t="n">
        <f aca="false">N(F125)-N(E125)</f>
        <v>1245000</v>
      </c>
      <c r="H125" s="3" t="n">
        <f aca="false">MONTH(B125)</f>
        <v>3</v>
      </c>
      <c r="I125" s="3" t="s">
        <v>1882</v>
      </c>
      <c r="J125" s="3" t="s">
        <v>1883</v>
      </c>
      <c r="K125" s="3" t="s">
        <v>1884</v>
      </c>
      <c r="L125" s="3" t="s">
        <v>1935</v>
      </c>
      <c r="M125" s="3" t="s">
        <v>1306</v>
      </c>
      <c r="N125" s="11" t="s">
        <v>1936</v>
      </c>
    </row>
    <row r="126" customFormat="false" ht="15" hidden="false" customHeight="false" outlineLevel="0" collapsed="false">
      <c r="A126" s="3" t="n">
        <v>122</v>
      </c>
      <c r="B126" s="8" t="n">
        <v>45736</v>
      </c>
      <c r="C126" s="3" t="s">
        <v>287</v>
      </c>
      <c r="D126" s="3" t="s">
        <v>288</v>
      </c>
      <c r="E126" s="9"/>
      <c r="F126" s="9" t="n">
        <v>2901400</v>
      </c>
      <c r="G126" s="9" t="n">
        <f aca="false">N(F126)-N(E126)</f>
        <v>2901400</v>
      </c>
      <c r="H126" s="3" t="n">
        <f aca="false">MONTH(B126)</f>
        <v>3</v>
      </c>
      <c r="I126" s="3" t="s">
        <v>1882</v>
      </c>
      <c r="J126" s="3" t="s">
        <v>1883</v>
      </c>
      <c r="K126" s="3" t="s">
        <v>1884</v>
      </c>
      <c r="L126" s="3" t="s">
        <v>1885</v>
      </c>
      <c r="M126" s="3" t="s">
        <v>1308</v>
      </c>
      <c r="N126" s="11"/>
    </row>
    <row r="127" customFormat="false" ht="15" hidden="false" customHeight="false" outlineLevel="0" collapsed="false">
      <c r="A127" s="3" t="n">
        <v>123</v>
      </c>
      <c r="B127" s="8" t="n">
        <v>45736</v>
      </c>
      <c r="C127" s="3" t="s">
        <v>289</v>
      </c>
      <c r="D127" s="3" t="s">
        <v>290</v>
      </c>
      <c r="E127" s="9"/>
      <c r="F127" s="9" t="n">
        <v>1523228.71</v>
      </c>
      <c r="G127" s="9" t="n">
        <f aca="false">N(F127)-N(E127)</f>
        <v>1523228.71</v>
      </c>
      <c r="H127" s="3" t="n">
        <f aca="false">MONTH(B127)</f>
        <v>3</v>
      </c>
      <c r="I127" s="3" t="s">
        <v>1886</v>
      </c>
      <c r="J127" s="3" t="s">
        <v>1883</v>
      </c>
      <c r="K127" s="3" t="s">
        <v>1884</v>
      </c>
      <c r="L127" s="3" t="s">
        <v>1885</v>
      </c>
      <c r="M127" s="3" t="s">
        <v>1310</v>
      </c>
      <c r="N127" s="11" t="s">
        <v>1887</v>
      </c>
    </row>
    <row r="128" customFormat="false" ht="15" hidden="false" customHeight="false" outlineLevel="0" collapsed="false">
      <c r="A128" s="3" t="n">
        <v>124</v>
      </c>
      <c r="B128" s="8" t="n">
        <v>45737</v>
      </c>
      <c r="C128" s="3" t="s">
        <v>291</v>
      </c>
      <c r="D128" s="3" t="s">
        <v>292</v>
      </c>
      <c r="E128" s="9" t="n">
        <v>1564242.89</v>
      </c>
      <c r="F128" s="9"/>
      <c r="G128" s="9" t="n">
        <f aca="false">N(F128)-N(E128)</f>
        <v>-1564242.89</v>
      </c>
      <c r="H128" s="3" t="n">
        <f aca="false">MONTH(B128)</f>
        <v>3</v>
      </c>
      <c r="I128" s="3" t="s">
        <v>1904</v>
      </c>
      <c r="J128" s="3" t="s">
        <v>1883</v>
      </c>
      <c r="K128" s="3" t="s">
        <v>1884</v>
      </c>
      <c r="L128" s="3" t="s">
        <v>1885</v>
      </c>
      <c r="M128" s="3" t="s">
        <v>1304</v>
      </c>
      <c r="N128" s="11" t="s">
        <v>1905</v>
      </c>
    </row>
    <row r="129" customFormat="false" ht="15" hidden="false" customHeight="false" outlineLevel="0" collapsed="false">
      <c r="A129" s="12" t="n">
        <v>125</v>
      </c>
      <c r="B129" s="13" t="n">
        <v>45740</v>
      </c>
      <c r="C129" s="12" t="s">
        <v>293</v>
      </c>
      <c r="D129" s="12" t="s">
        <v>245</v>
      </c>
      <c r="E129" s="14"/>
      <c r="F129" s="14" t="n">
        <v>1343400</v>
      </c>
      <c r="G129" s="14" t="n">
        <f aca="false">N(F129)-N(E129)</f>
        <v>1343400</v>
      </c>
      <c r="H129" s="12" t="n">
        <f aca="false">MONTH(B129)</f>
        <v>3</v>
      </c>
      <c r="I129" s="12" t="s">
        <v>1882</v>
      </c>
      <c r="J129" s="12" t="s">
        <v>1883</v>
      </c>
      <c r="K129" s="12" t="s">
        <v>1896</v>
      </c>
      <c r="L129" s="12" t="s">
        <v>1885</v>
      </c>
      <c r="M129" s="12" t="s">
        <v>1313</v>
      </c>
      <c r="N129" s="15" t="s">
        <v>1907</v>
      </c>
    </row>
    <row r="130" customFormat="false" ht="15" hidden="false" customHeight="false" outlineLevel="0" collapsed="false">
      <c r="A130" s="3" t="n">
        <v>126</v>
      </c>
      <c r="B130" s="8" t="n">
        <v>45740</v>
      </c>
      <c r="C130" s="3" t="s">
        <v>294</v>
      </c>
      <c r="D130" s="3" t="s">
        <v>295</v>
      </c>
      <c r="E130" s="9"/>
      <c r="F130" s="9" t="n">
        <v>1443100</v>
      </c>
      <c r="G130" s="9" t="n">
        <f aca="false">N(F130)-N(E130)</f>
        <v>1443100</v>
      </c>
      <c r="H130" s="3" t="n">
        <f aca="false">MONTH(B130)</f>
        <v>3</v>
      </c>
      <c r="I130" s="3" t="s">
        <v>1882</v>
      </c>
      <c r="J130" s="3" t="s">
        <v>1883</v>
      </c>
      <c r="K130" s="3" t="s">
        <v>1884</v>
      </c>
      <c r="L130" s="3" t="s">
        <v>1885</v>
      </c>
      <c r="M130" s="3" t="s">
        <v>1311</v>
      </c>
      <c r="N130" s="11"/>
    </row>
    <row r="131" customFormat="false" ht="15" hidden="false" customHeight="false" outlineLevel="0" collapsed="false">
      <c r="A131" s="3" t="n">
        <v>127</v>
      </c>
      <c r="B131" s="8" t="n">
        <v>45740</v>
      </c>
      <c r="C131" s="3" t="s">
        <v>296</v>
      </c>
      <c r="D131" s="3" t="s">
        <v>297</v>
      </c>
      <c r="E131" s="9"/>
      <c r="F131" s="9" t="n">
        <v>801486.49</v>
      </c>
      <c r="G131" s="9" t="n">
        <f aca="false">N(F131)-N(E131)</f>
        <v>801486.49</v>
      </c>
      <c r="H131" s="3" t="n">
        <f aca="false">MONTH(B131)</f>
        <v>3</v>
      </c>
      <c r="I131" s="3" t="s">
        <v>1891</v>
      </c>
      <c r="J131" s="3" t="s">
        <v>1883</v>
      </c>
      <c r="K131" s="3" t="s">
        <v>1884</v>
      </c>
      <c r="L131" s="3" t="s">
        <v>1885</v>
      </c>
      <c r="M131" s="3" t="s">
        <v>1314</v>
      </c>
      <c r="N131" s="11" t="s">
        <v>1892</v>
      </c>
    </row>
    <row r="132" customFormat="false" ht="15" hidden="false" customHeight="false" outlineLevel="0" collapsed="false">
      <c r="A132" s="12" t="n">
        <v>128</v>
      </c>
      <c r="B132" s="13" t="n">
        <v>45740</v>
      </c>
      <c r="C132" s="12" t="s">
        <v>298</v>
      </c>
      <c r="D132" s="12" t="s">
        <v>299</v>
      </c>
      <c r="E132" s="14"/>
      <c r="F132" s="14" t="n">
        <v>1175012.51</v>
      </c>
      <c r="G132" s="14" t="n">
        <f aca="false">N(F132)-N(E132)</f>
        <v>1175012.51</v>
      </c>
      <c r="H132" s="12" t="n">
        <f aca="false">MONTH(B132)</f>
        <v>3</v>
      </c>
      <c r="I132" s="12" t="s">
        <v>1895</v>
      </c>
      <c r="J132" s="12" t="s">
        <v>1883</v>
      </c>
      <c r="K132" s="12" t="s">
        <v>1896</v>
      </c>
      <c r="L132" s="12" t="s">
        <v>1885</v>
      </c>
      <c r="M132" s="12" t="s">
        <v>1315</v>
      </c>
      <c r="N132" s="15" t="s">
        <v>1897</v>
      </c>
    </row>
    <row r="133" customFormat="false" ht="15" hidden="false" customHeight="false" outlineLevel="0" collapsed="false">
      <c r="A133" s="3" t="n">
        <v>129</v>
      </c>
      <c r="B133" s="8" t="n">
        <v>45740</v>
      </c>
      <c r="C133" s="3" t="s">
        <v>300</v>
      </c>
      <c r="D133" s="3" t="s">
        <v>301</v>
      </c>
      <c r="E133" s="9" t="n">
        <v>974200</v>
      </c>
      <c r="F133" s="9"/>
      <c r="G133" s="9" t="n">
        <f aca="false">N(F133)-N(E133)</f>
        <v>-974200</v>
      </c>
      <c r="H133" s="3" t="n">
        <f aca="false">MONTH(B133)</f>
        <v>3</v>
      </c>
      <c r="I133" s="3" t="s">
        <v>1899</v>
      </c>
      <c r="J133" s="3" t="s">
        <v>1883</v>
      </c>
      <c r="K133" s="3" t="s">
        <v>1884</v>
      </c>
      <c r="L133" s="3" t="s">
        <v>1885</v>
      </c>
      <c r="M133" s="3" t="s">
        <v>1316</v>
      </c>
      <c r="N133" s="11"/>
    </row>
    <row r="134" customFormat="false" ht="15" hidden="false" customHeight="false" outlineLevel="0" collapsed="false">
      <c r="A134" s="3" t="n">
        <v>130</v>
      </c>
      <c r="B134" s="8" t="n">
        <v>45740</v>
      </c>
      <c r="C134" s="3" t="s">
        <v>302</v>
      </c>
      <c r="D134" s="3" t="s">
        <v>303</v>
      </c>
      <c r="E134" s="9" t="n">
        <v>106848.83</v>
      </c>
      <c r="F134" s="9"/>
      <c r="G134" s="9" t="n">
        <f aca="false">N(F134)-N(E134)</f>
        <v>-106848.83</v>
      </c>
      <c r="H134" s="3" t="n">
        <f aca="false">MONTH(B134)</f>
        <v>3</v>
      </c>
      <c r="I134" s="3" t="s">
        <v>1906</v>
      </c>
      <c r="J134" s="3" t="s">
        <v>1883</v>
      </c>
      <c r="K134" s="3" t="s">
        <v>1884</v>
      </c>
      <c r="L134" s="3" t="s">
        <v>1885</v>
      </c>
      <c r="M134" s="3" t="s">
        <v>1317</v>
      </c>
      <c r="N134" s="11"/>
    </row>
    <row r="135" customFormat="false" ht="15" hidden="false" customHeight="false" outlineLevel="0" collapsed="false">
      <c r="A135" s="3" t="n">
        <v>131</v>
      </c>
      <c r="B135" s="8" t="n">
        <v>45740</v>
      </c>
      <c r="C135" s="3" t="s">
        <v>304</v>
      </c>
      <c r="D135" s="3" t="s">
        <v>305</v>
      </c>
      <c r="E135" s="9" t="n">
        <v>194100</v>
      </c>
      <c r="F135" s="9"/>
      <c r="G135" s="9" t="n">
        <f aca="false">N(F135)-N(E135)</f>
        <v>-194100</v>
      </c>
      <c r="H135" s="3" t="n">
        <f aca="false">MONTH(B135)</f>
        <v>3</v>
      </c>
      <c r="I135" s="3" t="s">
        <v>1888</v>
      </c>
      <c r="J135" s="3" t="s">
        <v>1883</v>
      </c>
      <c r="K135" s="3" t="s">
        <v>1884</v>
      </c>
      <c r="L135" s="3" t="s">
        <v>1885</v>
      </c>
      <c r="M135" s="3" t="s">
        <v>1318</v>
      </c>
      <c r="N135" s="11"/>
    </row>
    <row r="136" customFormat="false" ht="15" hidden="false" customHeight="false" outlineLevel="0" collapsed="false">
      <c r="A136" s="12" t="n">
        <v>132</v>
      </c>
      <c r="B136" s="13" t="n">
        <v>45740</v>
      </c>
      <c r="C136" s="12" t="s">
        <v>306</v>
      </c>
      <c r="D136" s="12" t="s">
        <v>307</v>
      </c>
      <c r="E136" s="14" t="n">
        <v>543000</v>
      </c>
      <c r="F136" s="14"/>
      <c r="G136" s="14" t="n">
        <f aca="false">N(F136)-N(E136)</f>
        <v>-543000</v>
      </c>
      <c r="H136" s="12" t="n">
        <f aca="false">MONTH(B136)</f>
        <v>3</v>
      </c>
      <c r="I136" s="12" t="s">
        <v>1908</v>
      </c>
      <c r="J136" s="12" t="s">
        <v>1883</v>
      </c>
      <c r="K136" s="12" t="s">
        <v>1896</v>
      </c>
      <c r="L136" s="12" t="s">
        <v>1885</v>
      </c>
      <c r="M136" s="12" t="s">
        <v>1319</v>
      </c>
      <c r="N136" s="15" t="s">
        <v>1909</v>
      </c>
    </row>
    <row r="137" customFormat="false" ht="15" hidden="false" customHeight="false" outlineLevel="0" collapsed="false">
      <c r="A137" s="12" t="n">
        <v>133</v>
      </c>
      <c r="B137" s="13" t="n">
        <v>45742</v>
      </c>
      <c r="C137" s="12" t="s">
        <v>308</v>
      </c>
      <c r="D137" s="12" t="s">
        <v>309</v>
      </c>
      <c r="E137" s="14" t="n">
        <v>2450500</v>
      </c>
      <c r="F137" s="14"/>
      <c r="G137" s="14" t="n">
        <f aca="false">N(F137)-N(E137)</f>
        <v>-2450500</v>
      </c>
      <c r="H137" s="12" t="n">
        <f aca="false">MONTH(B137)</f>
        <v>3</v>
      </c>
      <c r="I137" s="12" t="s">
        <v>1899</v>
      </c>
      <c r="J137" s="12" t="s">
        <v>1883</v>
      </c>
      <c r="K137" s="12" t="s">
        <v>1896</v>
      </c>
      <c r="L137" s="12" t="s">
        <v>1885</v>
      </c>
      <c r="M137" s="12" t="s">
        <v>1320</v>
      </c>
      <c r="N137" s="15" t="s">
        <v>1937</v>
      </c>
    </row>
    <row r="138" customFormat="false" ht="15" hidden="false" customHeight="false" outlineLevel="0" collapsed="false">
      <c r="A138" s="3" t="n">
        <v>134</v>
      </c>
      <c r="B138" s="8" t="n">
        <v>45743</v>
      </c>
      <c r="C138" s="3" t="s">
        <v>310</v>
      </c>
      <c r="D138" s="3" t="s">
        <v>311</v>
      </c>
      <c r="E138" s="9"/>
      <c r="F138" s="9" t="n">
        <v>975629.48</v>
      </c>
      <c r="G138" s="9" t="n">
        <f aca="false">N(F138)-N(E138)</f>
        <v>975629.48</v>
      </c>
      <c r="H138" s="3" t="n">
        <f aca="false">MONTH(B138)</f>
        <v>3</v>
      </c>
      <c r="I138" s="3" t="s">
        <v>1886</v>
      </c>
      <c r="J138" s="3" t="s">
        <v>1883</v>
      </c>
      <c r="K138" s="3" t="s">
        <v>1884</v>
      </c>
      <c r="L138" s="3" t="s">
        <v>1885</v>
      </c>
      <c r="M138" s="3" t="s">
        <v>1322</v>
      </c>
      <c r="N138" s="11" t="s">
        <v>1887</v>
      </c>
    </row>
    <row r="139" customFormat="false" ht="15" hidden="false" customHeight="false" outlineLevel="0" collapsed="false">
      <c r="A139" s="3" t="n">
        <v>135</v>
      </c>
      <c r="B139" s="8" t="n">
        <v>45743</v>
      </c>
      <c r="C139" s="3" t="s">
        <v>312</v>
      </c>
      <c r="D139" s="3" t="s">
        <v>313</v>
      </c>
      <c r="E139" s="9" t="n">
        <v>3781200</v>
      </c>
      <c r="F139" s="9"/>
      <c r="G139" s="9" t="n">
        <f aca="false">N(F139)-N(E139)</f>
        <v>-3781200</v>
      </c>
      <c r="H139" s="3" t="n">
        <f aca="false">MONTH(B139)</f>
        <v>3</v>
      </c>
      <c r="I139" s="3" t="s">
        <v>1910</v>
      </c>
      <c r="J139" s="3" t="s">
        <v>1883</v>
      </c>
      <c r="K139" s="3" t="s">
        <v>1884</v>
      </c>
      <c r="L139" s="3" t="s">
        <v>1885</v>
      </c>
      <c r="M139" s="3" t="s">
        <v>1323</v>
      </c>
      <c r="N139" s="11"/>
    </row>
    <row r="140" customFormat="false" ht="15" hidden="false" customHeight="false" outlineLevel="0" collapsed="false">
      <c r="A140" s="3" t="n">
        <v>136</v>
      </c>
      <c r="B140" s="8" t="n">
        <v>45747</v>
      </c>
      <c r="C140" s="3" t="s">
        <v>314</v>
      </c>
      <c r="D140" s="3" t="s">
        <v>315</v>
      </c>
      <c r="E140" s="9"/>
      <c r="F140" s="9" t="n">
        <v>50923.89</v>
      </c>
      <c r="G140" s="9" t="n">
        <f aca="false">N(F140)-N(E140)</f>
        <v>50923.89</v>
      </c>
      <c r="H140" s="3" t="n">
        <f aca="false">MONTH(B140)</f>
        <v>3</v>
      </c>
      <c r="I140" s="3" t="s">
        <v>1938</v>
      </c>
      <c r="J140" s="3" t="s">
        <v>1883</v>
      </c>
      <c r="K140" s="3" t="s">
        <v>1884</v>
      </c>
      <c r="L140" s="3" t="s">
        <v>1939</v>
      </c>
      <c r="M140" s="3" t="s">
        <v>1940</v>
      </c>
      <c r="N140" s="11" t="s">
        <v>1941</v>
      </c>
    </row>
    <row r="141" customFormat="false" ht="15" hidden="false" customHeight="false" outlineLevel="0" collapsed="false">
      <c r="A141" s="3" t="n">
        <v>137</v>
      </c>
      <c r="B141" s="8" t="n">
        <v>45747</v>
      </c>
      <c r="C141" s="3" t="s">
        <v>316</v>
      </c>
      <c r="D141" s="3" t="s">
        <v>317</v>
      </c>
      <c r="E141" s="9" t="n">
        <v>4500</v>
      </c>
      <c r="F141" s="9"/>
      <c r="G141" s="9" t="n">
        <f aca="false">N(F141)-N(E141)</f>
        <v>-4500</v>
      </c>
      <c r="H141" s="3" t="n">
        <f aca="false">MONTH(B141)</f>
        <v>3</v>
      </c>
      <c r="I141" s="3" t="s">
        <v>1911</v>
      </c>
      <c r="J141" s="3" t="s">
        <v>1883</v>
      </c>
      <c r="K141" s="3" t="s">
        <v>1884</v>
      </c>
      <c r="L141" s="3" t="s">
        <v>1912</v>
      </c>
      <c r="M141" s="3" t="s">
        <v>1328</v>
      </c>
      <c r="N141" s="11" t="s">
        <v>1913</v>
      </c>
    </row>
    <row r="142" customFormat="false" ht="15" hidden="false" customHeight="false" outlineLevel="0" collapsed="false">
      <c r="A142" s="3" t="n">
        <v>138</v>
      </c>
      <c r="B142" s="8" t="n">
        <v>45747</v>
      </c>
      <c r="C142" s="3" t="s">
        <v>318</v>
      </c>
      <c r="D142" s="3" t="s">
        <v>136</v>
      </c>
      <c r="E142" s="9" t="n">
        <v>4046.34</v>
      </c>
      <c r="F142" s="9"/>
      <c r="G142" s="9" t="n">
        <f aca="false">N(F142)-N(E142)</f>
        <v>-4046.34</v>
      </c>
      <c r="H142" s="3" t="n">
        <f aca="false">MONTH(B142)</f>
        <v>3</v>
      </c>
      <c r="I142" s="3" t="s">
        <v>1911</v>
      </c>
      <c r="J142" s="3" t="s">
        <v>1883</v>
      </c>
      <c r="K142" s="3" t="s">
        <v>1884</v>
      </c>
      <c r="L142" s="3" t="s">
        <v>1912</v>
      </c>
      <c r="M142" s="3" t="s">
        <v>1328</v>
      </c>
      <c r="N142" s="11" t="s">
        <v>1913</v>
      </c>
    </row>
    <row r="143" customFormat="false" ht="15" hidden="false" customHeight="false" outlineLevel="0" collapsed="false">
      <c r="A143" s="3" t="n">
        <v>139</v>
      </c>
      <c r="B143" s="8" t="n">
        <v>45747</v>
      </c>
      <c r="C143" s="3" t="s">
        <v>319</v>
      </c>
      <c r="D143" s="3" t="s">
        <v>320</v>
      </c>
      <c r="E143" s="9" t="n">
        <v>350</v>
      </c>
      <c r="F143" s="9"/>
      <c r="G143" s="9" t="n">
        <f aca="false">N(F143)-N(E143)</f>
        <v>-350</v>
      </c>
      <c r="H143" s="3" t="n">
        <f aca="false">MONTH(B143)</f>
        <v>3</v>
      </c>
      <c r="I143" s="3" t="s">
        <v>1911</v>
      </c>
      <c r="J143" s="3" t="s">
        <v>1883</v>
      </c>
      <c r="K143" s="3" t="s">
        <v>1884</v>
      </c>
      <c r="L143" s="3" t="s">
        <v>1912</v>
      </c>
      <c r="M143" s="3" t="s">
        <v>1328</v>
      </c>
      <c r="N143" s="11" t="s">
        <v>1913</v>
      </c>
    </row>
    <row r="144" customFormat="false" ht="15" hidden="false" customHeight="false" outlineLevel="0" collapsed="false">
      <c r="A144" s="3" t="n">
        <v>140</v>
      </c>
      <c r="B144" s="8" t="n">
        <v>45747</v>
      </c>
      <c r="C144" s="3" t="s">
        <v>321</v>
      </c>
      <c r="D144" s="3" t="s">
        <v>140</v>
      </c>
      <c r="E144" s="9" t="n">
        <v>667.23</v>
      </c>
      <c r="F144" s="9"/>
      <c r="G144" s="9" t="n">
        <f aca="false">N(F144)-N(E144)</f>
        <v>-667.23</v>
      </c>
      <c r="H144" s="3" t="n">
        <f aca="false">MONTH(B144)</f>
        <v>3</v>
      </c>
      <c r="I144" s="3" t="s">
        <v>1911</v>
      </c>
      <c r="J144" s="3" t="s">
        <v>1883</v>
      </c>
      <c r="K144" s="3" t="s">
        <v>1884</v>
      </c>
      <c r="L144" s="3" t="s">
        <v>1912</v>
      </c>
      <c r="M144" s="3" t="s">
        <v>1328</v>
      </c>
      <c r="N144" s="11" t="s">
        <v>1913</v>
      </c>
    </row>
    <row r="145" customFormat="false" ht="15" hidden="false" customHeight="false" outlineLevel="0" collapsed="false">
      <c r="A145" s="3" t="n">
        <v>141</v>
      </c>
      <c r="B145" s="8" t="n">
        <v>45747</v>
      </c>
      <c r="C145" s="3" t="s">
        <v>322</v>
      </c>
      <c r="D145" s="3" t="s">
        <v>323</v>
      </c>
      <c r="E145" s="9" t="n">
        <v>1050</v>
      </c>
      <c r="F145" s="9"/>
      <c r="G145" s="9" t="n">
        <f aca="false">N(F145)-N(E145)</f>
        <v>-1050</v>
      </c>
      <c r="H145" s="3" t="n">
        <f aca="false">MONTH(B145)</f>
        <v>3</v>
      </c>
      <c r="I145" s="3" t="s">
        <v>1914</v>
      </c>
      <c r="J145" s="3" t="s">
        <v>1883</v>
      </c>
      <c r="K145" s="3" t="s">
        <v>1884</v>
      </c>
      <c r="L145" s="3" t="s">
        <v>1912</v>
      </c>
      <c r="M145" s="3" t="s">
        <v>1328</v>
      </c>
      <c r="N145" s="11" t="s">
        <v>1913</v>
      </c>
    </row>
    <row r="146" customFormat="false" ht="15" hidden="false" customHeight="false" outlineLevel="0" collapsed="false">
      <c r="A146" s="3" t="n">
        <v>142</v>
      </c>
      <c r="B146" s="8" t="n">
        <v>45749</v>
      </c>
      <c r="C146" s="3" t="s">
        <v>324</v>
      </c>
      <c r="D146" s="3" t="s">
        <v>325</v>
      </c>
      <c r="E146" s="9" t="n">
        <v>3427900</v>
      </c>
      <c r="F146" s="9"/>
      <c r="G146" s="9" t="n">
        <f aca="false">N(F146)-N(E146)</f>
        <v>-3427900</v>
      </c>
      <c r="H146" s="3" t="n">
        <f aca="false">MONTH(B146)</f>
        <v>4</v>
      </c>
      <c r="I146" s="3" t="s">
        <v>1899</v>
      </c>
      <c r="J146" s="3" t="s">
        <v>1883</v>
      </c>
      <c r="K146" s="3" t="s">
        <v>1884</v>
      </c>
      <c r="L146" s="3" t="s">
        <v>1915</v>
      </c>
      <c r="M146" s="3" t="s">
        <v>1325</v>
      </c>
      <c r="N146" s="11"/>
    </row>
    <row r="147" customFormat="false" ht="15" hidden="false" customHeight="false" outlineLevel="0" collapsed="false">
      <c r="A147" s="3" t="n">
        <v>143</v>
      </c>
      <c r="B147" s="8" t="n">
        <v>45750</v>
      </c>
      <c r="C147" s="3" t="s">
        <v>326</v>
      </c>
      <c r="D147" s="3" t="s">
        <v>327</v>
      </c>
      <c r="E147" s="9"/>
      <c r="F147" s="9" t="n">
        <v>4575000</v>
      </c>
      <c r="G147" s="9" t="n">
        <f aca="false">N(F147)-N(E147)</f>
        <v>4575000</v>
      </c>
      <c r="H147" s="3" t="n">
        <f aca="false">MONTH(B147)</f>
        <v>4</v>
      </c>
      <c r="I147" s="3" t="s">
        <v>1882</v>
      </c>
      <c r="J147" s="3" t="s">
        <v>1883</v>
      </c>
      <c r="K147" s="3" t="s">
        <v>1884</v>
      </c>
      <c r="L147" s="3" t="s">
        <v>1885</v>
      </c>
      <c r="M147" s="3" t="s">
        <v>1330</v>
      </c>
      <c r="N147" s="11"/>
    </row>
    <row r="148" customFormat="false" ht="15" hidden="false" customHeight="false" outlineLevel="0" collapsed="false">
      <c r="A148" s="3" t="n">
        <v>144</v>
      </c>
      <c r="B148" s="8" t="n">
        <v>45750</v>
      </c>
      <c r="C148" s="3" t="s">
        <v>328</v>
      </c>
      <c r="D148" s="3" t="s">
        <v>329</v>
      </c>
      <c r="E148" s="9"/>
      <c r="F148" s="9" t="n">
        <v>2307300</v>
      </c>
      <c r="G148" s="9" t="n">
        <f aca="false">N(F148)-N(E148)</f>
        <v>2307300</v>
      </c>
      <c r="H148" s="3" t="n">
        <f aca="false">MONTH(B148)</f>
        <v>4</v>
      </c>
      <c r="I148" s="3" t="s">
        <v>1882</v>
      </c>
      <c r="J148" s="3" t="s">
        <v>1883</v>
      </c>
      <c r="K148" s="3" t="s">
        <v>1884</v>
      </c>
      <c r="L148" s="3" t="s">
        <v>1885</v>
      </c>
      <c r="M148" s="3" t="s">
        <v>1332</v>
      </c>
      <c r="N148" s="11"/>
    </row>
    <row r="149" customFormat="false" ht="15" hidden="false" customHeight="false" outlineLevel="0" collapsed="false">
      <c r="A149" s="3" t="n">
        <v>145</v>
      </c>
      <c r="B149" s="8" t="n">
        <v>45750</v>
      </c>
      <c r="C149" s="3" t="s">
        <v>330</v>
      </c>
      <c r="D149" s="3" t="s">
        <v>331</v>
      </c>
      <c r="E149" s="9" t="n">
        <v>3673800</v>
      </c>
      <c r="F149" s="9"/>
      <c r="G149" s="9" t="n">
        <f aca="false">N(F149)-N(E149)</f>
        <v>-3673800</v>
      </c>
      <c r="H149" s="3" t="n">
        <f aca="false">MONTH(B149)</f>
        <v>4</v>
      </c>
      <c r="I149" s="3" t="s">
        <v>1899</v>
      </c>
      <c r="J149" s="3" t="s">
        <v>1883</v>
      </c>
      <c r="K149" s="3" t="s">
        <v>1884</v>
      </c>
      <c r="L149" s="3" t="s">
        <v>1885</v>
      </c>
      <c r="M149" s="3" t="s">
        <v>1334</v>
      </c>
      <c r="N149" s="11"/>
    </row>
    <row r="150" customFormat="false" ht="15" hidden="false" customHeight="false" outlineLevel="0" collapsed="false">
      <c r="A150" s="3" t="n">
        <v>146</v>
      </c>
      <c r="B150" s="8" t="n">
        <v>45750</v>
      </c>
      <c r="C150" s="3" t="s">
        <v>332</v>
      </c>
      <c r="D150" s="3" t="s">
        <v>333</v>
      </c>
      <c r="E150" s="9" t="n">
        <v>310800</v>
      </c>
      <c r="F150" s="9"/>
      <c r="G150" s="9" t="n">
        <f aca="false">N(F150)-N(E150)</f>
        <v>-310800</v>
      </c>
      <c r="H150" s="3" t="n">
        <f aca="false">MONTH(B150)</f>
        <v>4</v>
      </c>
      <c r="I150" s="3" t="s">
        <v>1888</v>
      </c>
      <c r="J150" s="3" t="s">
        <v>1883</v>
      </c>
      <c r="K150" s="3" t="s">
        <v>1884</v>
      </c>
      <c r="L150" s="3" t="s">
        <v>1915</v>
      </c>
      <c r="M150" s="3" t="s">
        <v>1327</v>
      </c>
      <c r="N150" s="11"/>
    </row>
    <row r="151" customFormat="false" ht="15" hidden="false" customHeight="false" outlineLevel="0" collapsed="false">
      <c r="A151" s="3" t="n">
        <v>147</v>
      </c>
      <c r="B151" s="8" t="n">
        <v>45754</v>
      </c>
      <c r="C151" s="3" t="s">
        <v>334</v>
      </c>
      <c r="D151" s="3" t="s">
        <v>335</v>
      </c>
      <c r="E151" s="9"/>
      <c r="F151" s="9" t="n">
        <v>1780949.08</v>
      </c>
      <c r="G151" s="9" t="n">
        <f aca="false">N(F151)-N(E151)</f>
        <v>1780949.08</v>
      </c>
      <c r="H151" s="3" t="n">
        <f aca="false">MONTH(B151)</f>
        <v>4</v>
      </c>
      <c r="I151" s="3" t="s">
        <v>1886</v>
      </c>
      <c r="J151" s="3" t="s">
        <v>1883</v>
      </c>
      <c r="K151" s="3" t="s">
        <v>1884</v>
      </c>
      <c r="L151" s="3" t="s">
        <v>1885</v>
      </c>
      <c r="M151" s="3" t="s">
        <v>1335</v>
      </c>
      <c r="N151" s="11" t="s">
        <v>1887</v>
      </c>
    </row>
    <row r="152" customFormat="false" ht="15" hidden="false" customHeight="false" outlineLevel="0" collapsed="false">
      <c r="A152" s="3" t="n">
        <v>148</v>
      </c>
      <c r="B152" s="8" t="n">
        <v>45754</v>
      </c>
      <c r="C152" s="3" t="s">
        <v>336</v>
      </c>
      <c r="D152" s="3" t="s">
        <v>337</v>
      </c>
      <c r="E152" s="9" t="n">
        <v>85000</v>
      </c>
      <c r="F152" s="9"/>
      <c r="G152" s="9" t="n">
        <f aca="false">N(F152)-N(E152)</f>
        <v>-85000</v>
      </c>
      <c r="H152" s="3" t="n">
        <f aca="false">MONTH(B152)</f>
        <v>4</v>
      </c>
      <c r="I152" s="3" t="s">
        <v>1888</v>
      </c>
      <c r="J152" s="3" t="s">
        <v>1883</v>
      </c>
      <c r="K152" s="3" t="s">
        <v>1884</v>
      </c>
      <c r="L152" s="3" t="s">
        <v>1885</v>
      </c>
      <c r="M152" s="3" t="s">
        <v>1336</v>
      </c>
      <c r="N152" s="11"/>
    </row>
    <row r="153" customFormat="false" ht="15" hidden="false" customHeight="false" outlineLevel="0" collapsed="false">
      <c r="A153" s="3" t="n">
        <v>149</v>
      </c>
      <c r="B153" s="8" t="n">
        <v>45754</v>
      </c>
      <c r="C153" s="3" t="s">
        <v>338</v>
      </c>
      <c r="D153" s="3" t="s">
        <v>339</v>
      </c>
      <c r="E153" s="9" t="n">
        <v>1500000</v>
      </c>
      <c r="F153" s="9"/>
      <c r="G153" s="9" t="n">
        <f aca="false">N(F153)-N(E153)</f>
        <v>-1500000</v>
      </c>
      <c r="H153" s="3" t="n">
        <f aca="false">MONTH(B153)</f>
        <v>4</v>
      </c>
      <c r="I153" s="3" t="s">
        <v>1889</v>
      </c>
      <c r="J153" s="3" t="s">
        <v>1883</v>
      </c>
      <c r="K153" s="3" t="s">
        <v>1884</v>
      </c>
      <c r="L153" s="3" t="s">
        <v>1885</v>
      </c>
      <c r="M153" s="3" t="s">
        <v>1337</v>
      </c>
      <c r="N153" s="11"/>
    </row>
    <row r="154" customFormat="false" ht="15" hidden="false" customHeight="false" outlineLevel="0" collapsed="false">
      <c r="A154" s="3" t="n">
        <v>150</v>
      </c>
      <c r="B154" s="8" t="n">
        <v>45755</v>
      </c>
      <c r="C154" s="3" t="s">
        <v>340</v>
      </c>
      <c r="D154" s="3" t="s">
        <v>341</v>
      </c>
      <c r="E154" s="9" t="n">
        <v>189737.86</v>
      </c>
      <c r="F154" s="9"/>
      <c r="G154" s="9" t="n">
        <f aca="false">N(F154)-N(E154)</f>
        <v>-189737.86</v>
      </c>
      <c r="H154" s="3" t="n">
        <f aca="false">MONTH(B154)</f>
        <v>4</v>
      </c>
      <c r="I154" s="3" t="s">
        <v>1893</v>
      </c>
      <c r="J154" s="3" t="s">
        <v>1883</v>
      </c>
      <c r="K154" s="3" t="s">
        <v>1884</v>
      </c>
      <c r="L154" s="3" t="s">
        <v>1885</v>
      </c>
      <c r="M154" s="3" t="s">
        <v>1339</v>
      </c>
      <c r="N154" s="11" t="s">
        <v>1894</v>
      </c>
    </row>
    <row r="155" customFormat="false" ht="15" hidden="false" customHeight="false" outlineLevel="0" collapsed="false">
      <c r="A155" s="3" t="n">
        <v>151</v>
      </c>
      <c r="B155" s="8" t="n">
        <v>45756</v>
      </c>
      <c r="C155" s="3" t="s">
        <v>342</v>
      </c>
      <c r="D155" s="3" t="s">
        <v>343</v>
      </c>
      <c r="E155" s="9"/>
      <c r="F155" s="9" t="n">
        <v>874005.16</v>
      </c>
      <c r="G155" s="9" t="n">
        <f aca="false">N(F155)-N(E155)</f>
        <v>874005.16</v>
      </c>
      <c r="H155" s="3" t="n">
        <f aca="false">MONTH(B155)</f>
        <v>4</v>
      </c>
      <c r="I155" s="3" t="s">
        <v>1891</v>
      </c>
      <c r="J155" s="3" t="s">
        <v>1883</v>
      </c>
      <c r="K155" s="3" t="s">
        <v>1884</v>
      </c>
      <c r="L155" s="3" t="s">
        <v>1885</v>
      </c>
      <c r="M155" s="3" t="s">
        <v>1342</v>
      </c>
      <c r="N155" s="11" t="s">
        <v>1892</v>
      </c>
    </row>
    <row r="156" customFormat="false" ht="15" hidden="false" customHeight="false" outlineLevel="0" collapsed="false">
      <c r="A156" s="3" t="n">
        <v>152</v>
      </c>
      <c r="B156" s="8" t="n">
        <v>45756</v>
      </c>
      <c r="C156" s="3" t="s">
        <v>344</v>
      </c>
      <c r="D156" s="3" t="s">
        <v>345</v>
      </c>
      <c r="E156" s="9" t="n">
        <v>450000</v>
      </c>
      <c r="F156" s="9"/>
      <c r="G156" s="9" t="n">
        <f aca="false">N(F156)-N(E156)</f>
        <v>-450000</v>
      </c>
      <c r="H156" s="3" t="n">
        <f aca="false">MONTH(B156)</f>
        <v>4</v>
      </c>
      <c r="I156" s="3" t="s">
        <v>1942</v>
      </c>
      <c r="J156" s="3" t="s">
        <v>1883</v>
      </c>
      <c r="K156" s="3" t="s">
        <v>1884</v>
      </c>
      <c r="L156" s="3" t="s">
        <v>1885</v>
      </c>
      <c r="M156" s="3" t="s">
        <v>1343</v>
      </c>
      <c r="N156" s="11" t="s">
        <v>1943</v>
      </c>
    </row>
    <row r="157" customFormat="false" ht="15" hidden="false" customHeight="false" outlineLevel="0" collapsed="false">
      <c r="A157" s="3" t="n">
        <v>153</v>
      </c>
      <c r="B157" s="8" t="n">
        <v>45757</v>
      </c>
      <c r="C157" s="3" t="s">
        <v>346</v>
      </c>
      <c r="D157" s="3" t="s">
        <v>347</v>
      </c>
      <c r="E157" s="9" t="n">
        <v>450800</v>
      </c>
      <c r="F157" s="9"/>
      <c r="G157" s="9" t="n">
        <f aca="false">N(F157)-N(E157)</f>
        <v>-450800</v>
      </c>
      <c r="H157" s="3" t="n">
        <f aca="false">MONTH(B157)</f>
        <v>4</v>
      </c>
      <c r="I157" s="3" t="s">
        <v>1898</v>
      </c>
      <c r="J157" s="3" t="s">
        <v>1883</v>
      </c>
      <c r="K157" s="3" t="s">
        <v>1884</v>
      </c>
      <c r="L157" s="3" t="s">
        <v>1885</v>
      </c>
      <c r="M157" s="3" t="s">
        <v>1345</v>
      </c>
      <c r="N157" s="11"/>
    </row>
    <row r="158" customFormat="false" ht="15" hidden="false" customHeight="false" outlineLevel="0" collapsed="false">
      <c r="A158" s="12" t="n">
        <v>154</v>
      </c>
      <c r="B158" s="13" t="n">
        <v>45757</v>
      </c>
      <c r="C158" s="12" t="s">
        <v>348</v>
      </c>
      <c r="D158" s="12" t="s">
        <v>349</v>
      </c>
      <c r="E158" s="14" t="n">
        <v>417000</v>
      </c>
      <c r="F158" s="14"/>
      <c r="G158" s="14" t="n">
        <f aca="false">N(F158)-N(E158)</f>
        <v>-417000</v>
      </c>
      <c r="H158" s="12" t="n">
        <f aca="false">MONTH(B158)</f>
        <v>4</v>
      </c>
      <c r="I158" s="12" t="s">
        <v>1908</v>
      </c>
      <c r="J158" s="12" t="s">
        <v>1883</v>
      </c>
      <c r="K158" s="12" t="s">
        <v>1896</v>
      </c>
      <c r="L158" s="12" t="s">
        <v>1885</v>
      </c>
      <c r="M158" s="12" t="s">
        <v>1347</v>
      </c>
      <c r="N158" s="15" t="s">
        <v>1909</v>
      </c>
    </row>
    <row r="159" customFormat="false" ht="15" hidden="false" customHeight="false" outlineLevel="0" collapsed="false">
      <c r="A159" s="3" t="n">
        <v>155</v>
      </c>
      <c r="B159" s="8" t="n">
        <v>45757</v>
      </c>
      <c r="C159" s="3" t="s">
        <v>350</v>
      </c>
      <c r="D159" s="3" t="s">
        <v>351</v>
      </c>
      <c r="E159" s="9" t="n">
        <v>1057421.95</v>
      </c>
      <c r="F159" s="9"/>
      <c r="G159" s="9" t="n">
        <f aca="false">N(F159)-N(E159)</f>
        <v>-1057421.95</v>
      </c>
      <c r="H159" s="3" t="n">
        <f aca="false">MONTH(B159)</f>
        <v>4</v>
      </c>
      <c r="I159" s="3" t="s">
        <v>1944</v>
      </c>
      <c r="J159" s="3" t="s">
        <v>1920</v>
      </c>
      <c r="K159" s="3" t="s">
        <v>1884</v>
      </c>
      <c r="L159" s="3" t="s">
        <v>1885</v>
      </c>
      <c r="M159" s="3" t="s">
        <v>1348</v>
      </c>
      <c r="N159" s="11" t="s">
        <v>1945</v>
      </c>
    </row>
    <row r="160" customFormat="false" ht="15" hidden="false" customHeight="false" outlineLevel="0" collapsed="false">
      <c r="A160" s="12" t="n">
        <v>156</v>
      </c>
      <c r="B160" s="13" t="n">
        <v>45761</v>
      </c>
      <c r="C160" s="12" t="s">
        <v>352</v>
      </c>
      <c r="D160" s="12" t="s">
        <v>353</v>
      </c>
      <c r="E160" s="14"/>
      <c r="F160" s="14" t="n">
        <v>2956500</v>
      </c>
      <c r="G160" s="14" t="n">
        <f aca="false">N(F160)-N(E160)</f>
        <v>2956500</v>
      </c>
      <c r="H160" s="12" t="n">
        <f aca="false">MONTH(B160)</f>
        <v>4</v>
      </c>
      <c r="I160" s="12" t="s">
        <v>1882</v>
      </c>
      <c r="J160" s="12" t="s">
        <v>1883</v>
      </c>
      <c r="K160" s="12" t="s">
        <v>1896</v>
      </c>
      <c r="L160" s="12" t="s">
        <v>1885</v>
      </c>
      <c r="M160" s="12" t="s">
        <v>1353</v>
      </c>
      <c r="N160" s="15" t="s">
        <v>1907</v>
      </c>
    </row>
    <row r="161" customFormat="false" ht="15" hidden="false" customHeight="false" outlineLevel="0" collapsed="false">
      <c r="A161" s="3" t="n">
        <v>157</v>
      </c>
      <c r="B161" s="8" t="n">
        <v>45761</v>
      </c>
      <c r="C161" s="3" t="s">
        <v>354</v>
      </c>
      <c r="D161" s="3" t="s">
        <v>355</v>
      </c>
      <c r="E161" s="9"/>
      <c r="F161" s="9" t="n">
        <v>1594824.13</v>
      </c>
      <c r="G161" s="9" t="n">
        <f aca="false">N(F161)-N(E161)</f>
        <v>1594824.13</v>
      </c>
      <c r="H161" s="3" t="n">
        <f aca="false">MONTH(B161)</f>
        <v>4</v>
      </c>
      <c r="I161" s="3" t="s">
        <v>1886</v>
      </c>
      <c r="J161" s="3" t="s">
        <v>1883</v>
      </c>
      <c r="K161" s="3" t="s">
        <v>1884</v>
      </c>
      <c r="L161" s="3" t="s">
        <v>1885</v>
      </c>
      <c r="M161" s="3" t="s">
        <v>1354</v>
      </c>
      <c r="N161" s="11" t="s">
        <v>1887</v>
      </c>
    </row>
    <row r="162" customFormat="false" ht="15" hidden="false" customHeight="false" outlineLevel="0" collapsed="false">
      <c r="A162" s="3" t="n">
        <v>158</v>
      </c>
      <c r="B162" s="8" t="n">
        <v>45761</v>
      </c>
      <c r="C162" s="3" t="s">
        <v>356</v>
      </c>
      <c r="D162" s="3" t="s">
        <v>357</v>
      </c>
      <c r="E162" s="9" t="n">
        <v>3529100</v>
      </c>
      <c r="F162" s="9"/>
      <c r="G162" s="9" t="n">
        <f aca="false">N(F162)-N(E162)</f>
        <v>-3529100</v>
      </c>
      <c r="H162" s="3" t="n">
        <f aca="false">MONTH(B162)</f>
        <v>4</v>
      </c>
      <c r="I162" s="3" t="s">
        <v>1899</v>
      </c>
      <c r="J162" s="3" t="s">
        <v>1883</v>
      </c>
      <c r="K162" s="3" t="s">
        <v>1884</v>
      </c>
      <c r="L162" s="3" t="s">
        <v>1885</v>
      </c>
      <c r="M162" s="3" t="s">
        <v>1355</v>
      </c>
      <c r="N162" s="11"/>
    </row>
    <row r="163" customFormat="false" ht="15" hidden="false" customHeight="false" outlineLevel="0" collapsed="false">
      <c r="A163" s="3" t="n">
        <v>159</v>
      </c>
      <c r="B163" s="8" t="n">
        <v>45761</v>
      </c>
      <c r="C163" s="3" t="s">
        <v>358</v>
      </c>
      <c r="D163" s="3" t="s">
        <v>359</v>
      </c>
      <c r="E163" s="9" t="n">
        <v>3583400</v>
      </c>
      <c r="F163" s="9"/>
      <c r="G163" s="9" t="n">
        <f aca="false">N(F163)-N(E163)</f>
        <v>-3583400</v>
      </c>
      <c r="H163" s="3" t="n">
        <f aca="false">MONTH(B163)</f>
        <v>4</v>
      </c>
      <c r="I163" s="3" t="s">
        <v>1899</v>
      </c>
      <c r="J163" s="3" t="s">
        <v>1883</v>
      </c>
      <c r="K163" s="3" t="s">
        <v>1884</v>
      </c>
      <c r="L163" s="3" t="s">
        <v>1885</v>
      </c>
      <c r="M163" s="3" t="s">
        <v>1352</v>
      </c>
      <c r="N163" s="11"/>
    </row>
    <row r="164" customFormat="false" ht="15" hidden="false" customHeight="false" outlineLevel="0" collapsed="false">
      <c r="A164" s="3" t="n">
        <v>160</v>
      </c>
      <c r="B164" s="8" t="n">
        <v>45761</v>
      </c>
      <c r="C164" s="3" t="s">
        <v>360</v>
      </c>
      <c r="D164" s="3" t="s">
        <v>361</v>
      </c>
      <c r="E164" s="9" t="n">
        <v>160511.74</v>
      </c>
      <c r="F164" s="9"/>
      <c r="G164" s="9" t="n">
        <f aca="false">N(F164)-N(E164)</f>
        <v>-160511.74</v>
      </c>
      <c r="H164" s="3" t="n">
        <f aca="false">MONTH(B164)</f>
        <v>4</v>
      </c>
      <c r="I164" s="3" t="s">
        <v>1893</v>
      </c>
      <c r="J164" s="3" t="s">
        <v>1883</v>
      </c>
      <c r="K164" s="3" t="s">
        <v>1884</v>
      </c>
      <c r="L164" s="3" t="s">
        <v>1885</v>
      </c>
      <c r="M164" s="3" t="s">
        <v>1356</v>
      </c>
      <c r="N164" s="11" t="s">
        <v>1894</v>
      </c>
    </row>
    <row r="165" customFormat="false" ht="15" hidden="false" customHeight="false" outlineLevel="0" collapsed="false">
      <c r="A165" s="3" t="n">
        <v>161</v>
      </c>
      <c r="B165" s="8" t="n">
        <v>45761</v>
      </c>
      <c r="C165" s="3" t="s">
        <v>362</v>
      </c>
      <c r="D165" s="3" t="s">
        <v>363</v>
      </c>
      <c r="E165" s="9" t="n">
        <v>117010.65</v>
      </c>
      <c r="F165" s="9"/>
      <c r="G165" s="9" t="n">
        <f aca="false">N(F165)-N(E165)</f>
        <v>-117010.65</v>
      </c>
      <c r="H165" s="3" t="n">
        <f aca="false">MONTH(B165)</f>
        <v>4</v>
      </c>
      <c r="I165" s="3" t="s">
        <v>1900</v>
      </c>
      <c r="J165" s="3" t="s">
        <v>1883</v>
      </c>
      <c r="K165" s="3" t="s">
        <v>1884</v>
      </c>
      <c r="L165" s="3" t="s">
        <v>1885</v>
      </c>
      <c r="M165" s="3" t="s">
        <v>1357</v>
      </c>
      <c r="N165" s="11"/>
    </row>
    <row r="166" customFormat="false" ht="15" hidden="false" customHeight="false" outlineLevel="0" collapsed="false">
      <c r="A166" s="12" t="n">
        <v>162</v>
      </c>
      <c r="B166" s="13" t="n">
        <v>45761</v>
      </c>
      <c r="C166" s="12" t="s">
        <v>364</v>
      </c>
      <c r="D166" s="12" t="s">
        <v>365</v>
      </c>
      <c r="E166" s="14" t="n">
        <v>448000</v>
      </c>
      <c r="F166" s="14"/>
      <c r="G166" s="14" t="n">
        <f aca="false">N(F166)-N(E166)</f>
        <v>-448000</v>
      </c>
      <c r="H166" s="12" t="n">
        <f aca="false">MONTH(B166)</f>
        <v>4</v>
      </c>
      <c r="I166" s="12" t="s">
        <v>1908</v>
      </c>
      <c r="J166" s="12" t="s">
        <v>1883</v>
      </c>
      <c r="K166" s="12" t="s">
        <v>1896</v>
      </c>
      <c r="L166" s="12" t="s">
        <v>1885</v>
      </c>
      <c r="M166" s="12" t="s">
        <v>1350</v>
      </c>
      <c r="N166" s="15" t="s">
        <v>1909</v>
      </c>
    </row>
    <row r="167" customFormat="false" ht="15" hidden="false" customHeight="false" outlineLevel="0" collapsed="false">
      <c r="A167" s="3" t="n">
        <v>163</v>
      </c>
      <c r="B167" s="8" t="n">
        <v>45762</v>
      </c>
      <c r="C167" s="3" t="s">
        <v>366</v>
      </c>
      <c r="D167" s="3" t="s">
        <v>367</v>
      </c>
      <c r="E167" s="9"/>
      <c r="F167" s="9" t="n">
        <v>4009000</v>
      </c>
      <c r="G167" s="9" t="n">
        <f aca="false">N(F167)-N(E167)</f>
        <v>4009000</v>
      </c>
      <c r="H167" s="3" t="n">
        <f aca="false">MONTH(B167)</f>
        <v>4</v>
      </c>
      <c r="I167" s="3" t="s">
        <v>1882</v>
      </c>
      <c r="J167" s="3" t="s">
        <v>1883</v>
      </c>
      <c r="K167" s="3" t="s">
        <v>1884</v>
      </c>
      <c r="L167" s="3" t="s">
        <v>1885</v>
      </c>
      <c r="M167" s="3" t="s">
        <v>1358</v>
      </c>
      <c r="N167" s="11"/>
    </row>
    <row r="168" customFormat="false" ht="15" hidden="false" customHeight="false" outlineLevel="0" collapsed="false">
      <c r="A168" s="3" t="n">
        <v>164</v>
      </c>
      <c r="B168" s="8" t="n">
        <v>45762</v>
      </c>
      <c r="C168" s="3" t="s">
        <v>368</v>
      </c>
      <c r="D168" s="3" t="s">
        <v>369</v>
      </c>
      <c r="E168" s="9" t="n">
        <v>1699100</v>
      </c>
      <c r="F168" s="9"/>
      <c r="G168" s="9" t="n">
        <f aca="false">N(F168)-N(E168)</f>
        <v>-1699100</v>
      </c>
      <c r="H168" s="3" t="n">
        <f aca="false">MONTH(B168)</f>
        <v>4</v>
      </c>
      <c r="I168" s="3" t="s">
        <v>1899</v>
      </c>
      <c r="J168" s="3" t="s">
        <v>1883</v>
      </c>
      <c r="K168" s="3" t="s">
        <v>1884</v>
      </c>
      <c r="L168" s="3" t="s">
        <v>1885</v>
      </c>
      <c r="M168" s="3" t="s">
        <v>1340</v>
      </c>
      <c r="N168" s="11"/>
    </row>
    <row r="169" customFormat="false" ht="15" hidden="false" customHeight="false" outlineLevel="0" collapsed="false">
      <c r="A169" s="3" t="n">
        <v>165</v>
      </c>
      <c r="B169" s="8" t="n">
        <v>45762</v>
      </c>
      <c r="C169" s="3" t="s">
        <v>370</v>
      </c>
      <c r="D169" s="3" t="s">
        <v>371</v>
      </c>
      <c r="E169" s="9" t="n">
        <v>828000</v>
      </c>
      <c r="F169" s="9"/>
      <c r="G169" s="9" t="n">
        <f aca="false">N(F169)-N(E169)</f>
        <v>-828000</v>
      </c>
      <c r="H169" s="3" t="n">
        <f aca="false">MONTH(B169)</f>
        <v>4</v>
      </c>
      <c r="I169" s="3" t="s">
        <v>1903</v>
      </c>
      <c r="J169" s="3" t="s">
        <v>1883</v>
      </c>
      <c r="K169" s="3" t="s">
        <v>1884</v>
      </c>
      <c r="L169" s="3" t="s">
        <v>1885</v>
      </c>
      <c r="M169" s="3" t="s">
        <v>1360</v>
      </c>
      <c r="N169" s="11"/>
    </row>
    <row r="170" customFormat="false" ht="15" hidden="false" customHeight="false" outlineLevel="0" collapsed="false">
      <c r="A170" s="3" t="n">
        <v>166</v>
      </c>
      <c r="B170" s="8" t="n">
        <v>45762</v>
      </c>
      <c r="C170" s="3" t="s">
        <v>372</v>
      </c>
      <c r="D170" s="3" t="s">
        <v>373</v>
      </c>
      <c r="E170" s="9" t="n">
        <v>223800</v>
      </c>
      <c r="F170" s="9"/>
      <c r="G170" s="9" t="n">
        <f aca="false">N(F170)-N(E170)</f>
        <v>-223800</v>
      </c>
      <c r="H170" s="3" t="n">
        <f aca="false">MONTH(B170)</f>
        <v>4</v>
      </c>
      <c r="I170" s="3" t="s">
        <v>1888</v>
      </c>
      <c r="J170" s="3" t="s">
        <v>1883</v>
      </c>
      <c r="K170" s="3" t="s">
        <v>1884</v>
      </c>
      <c r="L170" s="3" t="s">
        <v>1885</v>
      </c>
      <c r="M170" s="3" t="s">
        <v>1351</v>
      </c>
      <c r="N170" s="11"/>
    </row>
    <row r="171" customFormat="false" ht="15" hidden="false" customHeight="false" outlineLevel="0" collapsed="false">
      <c r="A171" s="12" t="n">
        <v>167</v>
      </c>
      <c r="B171" s="13" t="n">
        <v>45763</v>
      </c>
      <c r="C171" s="12" t="s">
        <v>374</v>
      </c>
      <c r="D171" s="12" t="s">
        <v>192</v>
      </c>
      <c r="E171" s="14"/>
      <c r="F171" s="14" t="n">
        <v>1209659.88</v>
      </c>
      <c r="G171" s="14" t="n">
        <f aca="false">N(F171)-N(E171)</f>
        <v>1209659.88</v>
      </c>
      <c r="H171" s="12" t="n">
        <f aca="false">MONTH(B171)</f>
        <v>4</v>
      </c>
      <c r="I171" s="12" t="s">
        <v>1895</v>
      </c>
      <c r="J171" s="12" t="s">
        <v>1883</v>
      </c>
      <c r="K171" s="12" t="s">
        <v>1896</v>
      </c>
      <c r="L171" s="12" t="s">
        <v>1885</v>
      </c>
      <c r="M171" s="12" t="s">
        <v>1364</v>
      </c>
      <c r="N171" s="15" t="s">
        <v>1897</v>
      </c>
    </row>
    <row r="172" customFormat="false" ht="15" hidden="false" customHeight="false" outlineLevel="0" collapsed="false">
      <c r="A172" s="3" t="n">
        <v>168</v>
      </c>
      <c r="B172" s="8" t="n">
        <v>45764</v>
      </c>
      <c r="C172" s="3" t="s">
        <v>375</v>
      </c>
      <c r="D172" s="3" t="s">
        <v>376</v>
      </c>
      <c r="E172" s="9" t="n">
        <v>319559.42</v>
      </c>
      <c r="F172" s="9"/>
      <c r="G172" s="9" t="n">
        <f aca="false">N(F172)-N(E172)</f>
        <v>-319559.42</v>
      </c>
      <c r="H172" s="3" t="n">
        <f aca="false">MONTH(B172)</f>
        <v>4</v>
      </c>
      <c r="I172" s="3" t="s">
        <v>1893</v>
      </c>
      <c r="J172" s="3" t="s">
        <v>1883</v>
      </c>
      <c r="K172" s="3" t="s">
        <v>1884</v>
      </c>
      <c r="L172" s="3" t="s">
        <v>1885</v>
      </c>
      <c r="M172" s="3" t="s">
        <v>1369</v>
      </c>
      <c r="N172" s="11" t="s">
        <v>1894</v>
      </c>
    </row>
    <row r="173" customFormat="false" ht="15" hidden="false" customHeight="false" outlineLevel="0" collapsed="false">
      <c r="A173" s="3" t="n">
        <v>169</v>
      </c>
      <c r="B173" s="8" t="n">
        <v>45765</v>
      </c>
      <c r="C173" s="3" t="s">
        <v>377</v>
      </c>
      <c r="D173" s="3" t="s">
        <v>378</v>
      </c>
      <c r="E173" s="9"/>
      <c r="F173" s="9" t="n">
        <v>1626100</v>
      </c>
      <c r="G173" s="9" t="n">
        <f aca="false">N(F173)-N(E173)</f>
        <v>1626100</v>
      </c>
      <c r="H173" s="3" t="n">
        <f aca="false">MONTH(B173)</f>
        <v>4</v>
      </c>
      <c r="I173" s="3" t="s">
        <v>1882</v>
      </c>
      <c r="J173" s="3" t="s">
        <v>1883</v>
      </c>
      <c r="K173" s="3" t="s">
        <v>1884</v>
      </c>
      <c r="L173" s="3" t="s">
        <v>1885</v>
      </c>
      <c r="M173" s="3" t="s">
        <v>1365</v>
      </c>
      <c r="N173" s="11"/>
    </row>
    <row r="174" customFormat="false" ht="15" hidden="false" customHeight="false" outlineLevel="0" collapsed="false">
      <c r="A174" s="3" t="n">
        <v>170</v>
      </c>
      <c r="B174" s="8" t="n">
        <v>45768</v>
      </c>
      <c r="C174" s="3" t="s">
        <v>379</v>
      </c>
      <c r="D174" s="3" t="s">
        <v>380</v>
      </c>
      <c r="E174" s="9"/>
      <c r="F174" s="9" t="n">
        <v>996243.66</v>
      </c>
      <c r="G174" s="9" t="n">
        <f aca="false">N(F174)-N(E174)</f>
        <v>996243.66</v>
      </c>
      <c r="H174" s="3" t="n">
        <f aca="false">MONTH(B174)</f>
        <v>4</v>
      </c>
      <c r="I174" s="3" t="s">
        <v>1886</v>
      </c>
      <c r="J174" s="3" t="s">
        <v>1883</v>
      </c>
      <c r="K174" s="3" t="s">
        <v>1884</v>
      </c>
      <c r="L174" s="3" t="s">
        <v>1885</v>
      </c>
      <c r="M174" s="3" t="s">
        <v>1370</v>
      </c>
      <c r="N174" s="11" t="s">
        <v>1887</v>
      </c>
    </row>
    <row r="175" customFormat="false" ht="15" hidden="false" customHeight="false" outlineLevel="0" collapsed="false">
      <c r="A175" s="12" t="n">
        <v>171</v>
      </c>
      <c r="B175" s="13" t="n">
        <v>45768</v>
      </c>
      <c r="C175" s="12" t="s">
        <v>381</v>
      </c>
      <c r="D175" s="12" t="s">
        <v>192</v>
      </c>
      <c r="E175" s="14"/>
      <c r="F175" s="14" t="n">
        <v>516248.04</v>
      </c>
      <c r="G175" s="14" t="n">
        <f aca="false">N(F175)-N(E175)</f>
        <v>516248.04</v>
      </c>
      <c r="H175" s="12" t="n">
        <f aca="false">MONTH(B175)</f>
        <v>4</v>
      </c>
      <c r="I175" s="12" t="s">
        <v>1895</v>
      </c>
      <c r="J175" s="12" t="s">
        <v>1883</v>
      </c>
      <c r="K175" s="12" t="s">
        <v>1896</v>
      </c>
      <c r="L175" s="12" t="s">
        <v>1885</v>
      </c>
      <c r="M175" s="12" t="s">
        <v>1371</v>
      </c>
      <c r="N175" s="15" t="s">
        <v>1897</v>
      </c>
    </row>
    <row r="176" customFormat="false" ht="15" hidden="false" customHeight="false" outlineLevel="0" collapsed="false">
      <c r="A176" s="3" t="n">
        <v>172</v>
      </c>
      <c r="B176" s="8" t="n">
        <v>45768</v>
      </c>
      <c r="C176" s="3" t="s">
        <v>382</v>
      </c>
      <c r="D176" s="3" t="s">
        <v>383</v>
      </c>
      <c r="E176" s="9" t="n">
        <v>1109600</v>
      </c>
      <c r="F176" s="9"/>
      <c r="G176" s="9" t="n">
        <f aca="false">N(F176)-N(E176)</f>
        <v>-1109600</v>
      </c>
      <c r="H176" s="3" t="n">
        <f aca="false">MONTH(B176)</f>
        <v>4</v>
      </c>
      <c r="I176" s="3" t="s">
        <v>1893</v>
      </c>
      <c r="J176" s="3" t="s">
        <v>1883</v>
      </c>
      <c r="K176" s="3" t="s">
        <v>1884</v>
      </c>
      <c r="L176" s="3" t="s">
        <v>1885</v>
      </c>
      <c r="M176" s="3" t="s">
        <v>1362</v>
      </c>
      <c r="N176" s="11"/>
    </row>
    <row r="177" customFormat="false" ht="15" hidden="false" customHeight="false" outlineLevel="0" collapsed="false">
      <c r="A177" s="3" t="n">
        <v>173</v>
      </c>
      <c r="B177" s="8" t="n">
        <v>45768</v>
      </c>
      <c r="C177" s="3" t="s">
        <v>384</v>
      </c>
      <c r="D177" s="3" t="s">
        <v>385</v>
      </c>
      <c r="E177" s="9" t="n">
        <v>1160030.57</v>
      </c>
      <c r="F177" s="9"/>
      <c r="G177" s="9" t="n">
        <f aca="false">N(F177)-N(E177)</f>
        <v>-1160030.57</v>
      </c>
      <c r="H177" s="3" t="n">
        <f aca="false">MONTH(B177)</f>
        <v>4</v>
      </c>
      <c r="I177" s="3" t="s">
        <v>1904</v>
      </c>
      <c r="J177" s="3" t="s">
        <v>1883</v>
      </c>
      <c r="K177" s="3" t="s">
        <v>1884</v>
      </c>
      <c r="L177" s="3" t="s">
        <v>1885</v>
      </c>
      <c r="M177" s="3" t="s">
        <v>1367</v>
      </c>
      <c r="N177" s="11" t="s">
        <v>1905</v>
      </c>
    </row>
    <row r="178" customFormat="false" ht="15" hidden="false" customHeight="false" outlineLevel="0" collapsed="false">
      <c r="A178" s="3" t="n">
        <v>174</v>
      </c>
      <c r="B178" s="8" t="n">
        <v>45768</v>
      </c>
      <c r="C178" s="3" t="s">
        <v>386</v>
      </c>
      <c r="D178" s="3" t="s">
        <v>387</v>
      </c>
      <c r="E178" s="9" t="n">
        <v>280147.57</v>
      </c>
      <c r="F178" s="9"/>
      <c r="G178" s="9" t="n">
        <f aca="false">N(F178)-N(E178)</f>
        <v>-280147.57</v>
      </c>
      <c r="H178" s="3" t="n">
        <f aca="false">MONTH(B178)</f>
        <v>4</v>
      </c>
      <c r="I178" s="3" t="s">
        <v>1893</v>
      </c>
      <c r="J178" s="3" t="s">
        <v>1883</v>
      </c>
      <c r="K178" s="3" t="s">
        <v>1884</v>
      </c>
      <c r="L178" s="3" t="s">
        <v>1885</v>
      </c>
      <c r="M178" s="3" t="s">
        <v>1372</v>
      </c>
      <c r="N178" s="11" t="s">
        <v>1894</v>
      </c>
    </row>
    <row r="179" customFormat="false" ht="15" hidden="false" customHeight="false" outlineLevel="0" collapsed="false">
      <c r="A179" s="3" t="n">
        <v>175</v>
      </c>
      <c r="B179" s="8" t="n">
        <v>45768</v>
      </c>
      <c r="C179" s="3" t="s">
        <v>388</v>
      </c>
      <c r="D179" s="3" t="s">
        <v>389</v>
      </c>
      <c r="E179" s="9" t="n">
        <v>216768.18</v>
      </c>
      <c r="F179" s="9"/>
      <c r="G179" s="9" t="n">
        <f aca="false">N(F179)-N(E179)</f>
        <v>-216768.18</v>
      </c>
      <c r="H179" s="3" t="n">
        <f aca="false">MONTH(B179)</f>
        <v>4</v>
      </c>
      <c r="I179" s="3" t="s">
        <v>1901</v>
      </c>
      <c r="J179" s="3" t="s">
        <v>1883</v>
      </c>
      <c r="K179" s="3" t="s">
        <v>1884</v>
      </c>
      <c r="L179" s="3" t="s">
        <v>1885</v>
      </c>
      <c r="M179" s="3" t="s">
        <v>1373</v>
      </c>
      <c r="N179" s="11" t="s">
        <v>1902</v>
      </c>
    </row>
    <row r="180" customFormat="false" ht="15" hidden="false" customHeight="false" outlineLevel="0" collapsed="false">
      <c r="A180" s="3" t="n">
        <v>176</v>
      </c>
      <c r="B180" s="8" t="n">
        <v>45769</v>
      </c>
      <c r="C180" s="3" t="s">
        <v>390</v>
      </c>
      <c r="D180" s="3" t="s">
        <v>391</v>
      </c>
      <c r="E180" s="9" t="n">
        <v>167194.14</v>
      </c>
      <c r="F180" s="9"/>
      <c r="G180" s="9" t="n">
        <f aca="false">N(F180)-N(E180)</f>
        <v>-167194.14</v>
      </c>
      <c r="H180" s="3" t="n">
        <f aca="false">MONTH(B180)</f>
        <v>4</v>
      </c>
      <c r="I180" s="3" t="s">
        <v>1906</v>
      </c>
      <c r="J180" s="3" t="s">
        <v>1883</v>
      </c>
      <c r="K180" s="3" t="s">
        <v>1884</v>
      </c>
      <c r="L180" s="3" t="s">
        <v>1885</v>
      </c>
      <c r="M180" s="3" t="s">
        <v>1374</v>
      </c>
      <c r="N180" s="11"/>
    </row>
    <row r="181" customFormat="false" ht="15" hidden="false" customHeight="false" outlineLevel="0" collapsed="false">
      <c r="A181" s="3" t="n">
        <v>177</v>
      </c>
      <c r="B181" s="8" t="n">
        <v>45770</v>
      </c>
      <c r="C181" s="3" t="s">
        <v>392</v>
      </c>
      <c r="D181" s="3" t="s">
        <v>393</v>
      </c>
      <c r="E181" s="9"/>
      <c r="F181" s="9" t="n">
        <v>1641600</v>
      </c>
      <c r="G181" s="9" t="n">
        <f aca="false">N(F181)-N(E181)</f>
        <v>1641600</v>
      </c>
      <c r="H181" s="3" t="n">
        <f aca="false">MONTH(B181)</f>
        <v>4</v>
      </c>
      <c r="I181" s="3" t="s">
        <v>1882</v>
      </c>
      <c r="J181" s="3" t="s">
        <v>1883</v>
      </c>
      <c r="K181" s="3" t="s">
        <v>1884</v>
      </c>
      <c r="L181" s="3" t="s">
        <v>1885</v>
      </c>
      <c r="M181" s="3" t="s">
        <v>1377</v>
      </c>
      <c r="N181" s="11"/>
    </row>
    <row r="182" customFormat="false" ht="15" hidden="false" customHeight="false" outlineLevel="0" collapsed="false">
      <c r="A182" s="3" t="n">
        <v>178</v>
      </c>
      <c r="B182" s="8" t="n">
        <v>45770</v>
      </c>
      <c r="C182" s="3" t="s">
        <v>394</v>
      </c>
      <c r="D182" s="3" t="s">
        <v>395</v>
      </c>
      <c r="E182" s="9"/>
      <c r="F182" s="9" t="n">
        <v>760871.08</v>
      </c>
      <c r="G182" s="9" t="n">
        <f aca="false">N(F182)-N(E182)</f>
        <v>760871.08</v>
      </c>
      <c r="H182" s="3" t="n">
        <f aca="false">MONTH(B182)</f>
        <v>4</v>
      </c>
      <c r="I182" s="3" t="s">
        <v>1891</v>
      </c>
      <c r="J182" s="3" t="s">
        <v>1883</v>
      </c>
      <c r="K182" s="3" t="s">
        <v>1884</v>
      </c>
      <c r="L182" s="3" t="s">
        <v>1885</v>
      </c>
      <c r="M182" s="3" t="s">
        <v>1375</v>
      </c>
      <c r="N182" s="11" t="s">
        <v>1892</v>
      </c>
    </row>
    <row r="183" customFormat="false" ht="15" hidden="false" customHeight="false" outlineLevel="0" collapsed="false">
      <c r="A183" s="3" t="n">
        <v>179</v>
      </c>
      <c r="B183" s="8" t="n">
        <v>45770</v>
      </c>
      <c r="C183" s="3" t="s">
        <v>396</v>
      </c>
      <c r="D183" s="3" t="s">
        <v>397</v>
      </c>
      <c r="E183" s="9" t="n">
        <v>213630.86</v>
      </c>
      <c r="F183" s="9"/>
      <c r="G183" s="9" t="n">
        <f aca="false">N(F183)-N(E183)</f>
        <v>-213630.86</v>
      </c>
      <c r="H183" s="3" t="n">
        <f aca="false">MONTH(B183)</f>
        <v>4</v>
      </c>
      <c r="I183" s="3" t="s">
        <v>1901</v>
      </c>
      <c r="J183" s="3" t="s">
        <v>1883</v>
      </c>
      <c r="K183" s="3" t="s">
        <v>1884</v>
      </c>
      <c r="L183" s="3" t="s">
        <v>1885</v>
      </c>
      <c r="M183" s="3" t="s">
        <v>1376</v>
      </c>
      <c r="N183" s="11" t="s">
        <v>1902</v>
      </c>
    </row>
    <row r="184" customFormat="false" ht="15" hidden="false" customHeight="false" outlineLevel="0" collapsed="false">
      <c r="A184" s="3" t="n">
        <v>180</v>
      </c>
      <c r="B184" s="8" t="n">
        <v>45771</v>
      </c>
      <c r="C184" s="3" t="s">
        <v>398</v>
      </c>
      <c r="D184" s="3" t="s">
        <v>399</v>
      </c>
      <c r="E184" s="9" t="n">
        <v>900000</v>
      </c>
      <c r="F184" s="9"/>
      <c r="G184" s="9" t="n">
        <f aca="false">N(F184)-N(E184)</f>
        <v>-900000</v>
      </c>
      <c r="H184" s="3" t="n">
        <f aca="false">MONTH(B184)</f>
        <v>4</v>
      </c>
      <c r="I184" s="3" t="s">
        <v>1923</v>
      </c>
      <c r="J184" s="3" t="s">
        <v>1920</v>
      </c>
      <c r="K184" s="3" t="s">
        <v>1884</v>
      </c>
      <c r="L184" s="3" t="s">
        <v>1885</v>
      </c>
      <c r="M184" s="3" t="s">
        <v>1379</v>
      </c>
      <c r="N184" s="11"/>
    </row>
    <row r="185" customFormat="false" ht="15" hidden="false" customHeight="false" outlineLevel="0" collapsed="false">
      <c r="A185" s="12" t="n">
        <v>181</v>
      </c>
      <c r="B185" s="13" t="n">
        <v>45772</v>
      </c>
      <c r="C185" s="12" t="s">
        <v>400</v>
      </c>
      <c r="D185" s="12" t="s">
        <v>401</v>
      </c>
      <c r="E185" s="14"/>
      <c r="F185" s="14" t="n">
        <v>788133.11</v>
      </c>
      <c r="G185" s="14" t="n">
        <f aca="false">N(F185)-N(E185)</f>
        <v>788133.11</v>
      </c>
      <c r="H185" s="12" t="n">
        <f aca="false">MONTH(B185)</f>
        <v>4</v>
      </c>
      <c r="I185" s="12" t="s">
        <v>1895</v>
      </c>
      <c r="J185" s="12" t="s">
        <v>1883</v>
      </c>
      <c r="K185" s="12" t="s">
        <v>1896</v>
      </c>
      <c r="L185" s="12" t="s">
        <v>1885</v>
      </c>
      <c r="M185" s="12" t="s">
        <v>1381</v>
      </c>
      <c r="N185" s="15" t="s">
        <v>1897</v>
      </c>
    </row>
    <row r="186" customFormat="false" ht="15" hidden="false" customHeight="false" outlineLevel="0" collapsed="false">
      <c r="A186" s="3" t="n">
        <v>182</v>
      </c>
      <c r="B186" s="8" t="n">
        <v>45775</v>
      </c>
      <c r="C186" s="3" t="s">
        <v>402</v>
      </c>
      <c r="D186" s="3" t="s">
        <v>403</v>
      </c>
      <c r="E186" s="9"/>
      <c r="F186" s="9" t="n">
        <v>1059314.68</v>
      </c>
      <c r="G186" s="9" t="n">
        <f aca="false">N(F186)-N(E186)</f>
        <v>1059314.68</v>
      </c>
      <c r="H186" s="3" t="n">
        <f aca="false">MONTH(B186)</f>
        <v>4</v>
      </c>
      <c r="I186" s="3" t="s">
        <v>1886</v>
      </c>
      <c r="J186" s="3" t="s">
        <v>1883</v>
      </c>
      <c r="K186" s="3" t="s">
        <v>1884</v>
      </c>
      <c r="L186" s="3" t="s">
        <v>1885</v>
      </c>
      <c r="M186" s="3" t="s">
        <v>1382</v>
      </c>
      <c r="N186" s="11" t="s">
        <v>1887</v>
      </c>
    </row>
    <row r="187" customFormat="false" ht="15" hidden="false" customHeight="false" outlineLevel="0" collapsed="false">
      <c r="A187" s="3" t="n">
        <v>183</v>
      </c>
      <c r="B187" s="8" t="n">
        <v>45775</v>
      </c>
      <c r="C187" s="3" t="s">
        <v>404</v>
      </c>
      <c r="D187" s="3" t="s">
        <v>405</v>
      </c>
      <c r="E187" s="9" t="n">
        <v>3781200</v>
      </c>
      <c r="F187" s="9"/>
      <c r="G187" s="9" t="n">
        <f aca="false">N(F187)-N(E187)</f>
        <v>-3781200</v>
      </c>
      <c r="H187" s="3" t="n">
        <f aca="false">MONTH(B187)</f>
        <v>4</v>
      </c>
      <c r="I187" s="3" t="s">
        <v>1910</v>
      </c>
      <c r="J187" s="3" t="s">
        <v>1883</v>
      </c>
      <c r="K187" s="3" t="s">
        <v>1884</v>
      </c>
      <c r="L187" s="3" t="s">
        <v>1885</v>
      </c>
      <c r="M187" s="3" t="s">
        <v>1383</v>
      </c>
      <c r="N187" s="11"/>
    </row>
    <row r="188" customFormat="false" ht="15" hidden="false" customHeight="false" outlineLevel="0" collapsed="false">
      <c r="A188" s="3" t="n">
        <v>184</v>
      </c>
      <c r="B188" s="8" t="n">
        <v>45777</v>
      </c>
      <c r="C188" s="3" t="s">
        <v>406</v>
      </c>
      <c r="D188" s="3" t="s">
        <v>407</v>
      </c>
      <c r="E188" s="9" t="n">
        <v>4500</v>
      </c>
      <c r="F188" s="9"/>
      <c r="G188" s="9" t="n">
        <f aca="false">N(F188)-N(E188)</f>
        <v>-4500</v>
      </c>
      <c r="H188" s="3" t="n">
        <f aca="false">MONTH(B188)</f>
        <v>4</v>
      </c>
      <c r="I188" s="3" t="s">
        <v>1911</v>
      </c>
      <c r="J188" s="3" t="s">
        <v>1883</v>
      </c>
      <c r="K188" s="3" t="s">
        <v>1884</v>
      </c>
      <c r="L188" s="3" t="s">
        <v>1912</v>
      </c>
      <c r="M188" s="3" t="s">
        <v>1387</v>
      </c>
      <c r="N188" s="11" t="s">
        <v>1913</v>
      </c>
    </row>
    <row r="189" customFormat="false" ht="15" hidden="false" customHeight="false" outlineLevel="0" collapsed="false">
      <c r="A189" s="3" t="n">
        <v>185</v>
      </c>
      <c r="B189" s="8" t="n">
        <v>45777</v>
      </c>
      <c r="C189" s="3" t="s">
        <v>408</v>
      </c>
      <c r="D189" s="3" t="s">
        <v>136</v>
      </c>
      <c r="E189" s="9" t="n">
        <v>4482.72</v>
      </c>
      <c r="F189" s="9"/>
      <c r="G189" s="9" t="n">
        <f aca="false">N(F189)-N(E189)</f>
        <v>-4482.72</v>
      </c>
      <c r="H189" s="3" t="n">
        <f aca="false">MONTH(B189)</f>
        <v>4</v>
      </c>
      <c r="I189" s="3" t="s">
        <v>1911</v>
      </c>
      <c r="J189" s="3" t="s">
        <v>1883</v>
      </c>
      <c r="K189" s="3" t="s">
        <v>1884</v>
      </c>
      <c r="L189" s="3" t="s">
        <v>1912</v>
      </c>
      <c r="M189" s="3" t="s">
        <v>1387</v>
      </c>
      <c r="N189" s="11" t="s">
        <v>1913</v>
      </c>
    </row>
    <row r="190" customFormat="false" ht="15" hidden="false" customHeight="false" outlineLevel="0" collapsed="false">
      <c r="A190" s="3" t="n">
        <v>186</v>
      </c>
      <c r="B190" s="8" t="n">
        <v>45777</v>
      </c>
      <c r="C190" s="3" t="s">
        <v>409</v>
      </c>
      <c r="D190" s="3" t="s">
        <v>320</v>
      </c>
      <c r="E190" s="9" t="n">
        <v>350</v>
      </c>
      <c r="F190" s="9"/>
      <c r="G190" s="9" t="n">
        <f aca="false">N(F190)-N(E190)</f>
        <v>-350</v>
      </c>
      <c r="H190" s="3" t="n">
        <f aca="false">MONTH(B190)</f>
        <v>4</v>
      </c>
      <c r="I190" s="3" t="s">
        <v>1911</v>
      </c>
      <c r="J190" s="3" t="s">
        <v>1883</v>
      </c>
      <c r="K190" s="3" t="s">
        <v>1884</v>
      </c>
      <c r="L190" s="3" t="s">
        <v>1912</v>
      </c>
      <c r="M190" s="3" t="s">
        <v>1387</v>
      </c>
      <c r="N190" s="11" t="s">
        <v>1913</v>
      </c>
    </row>
    <row r="191" customFormat="false" ht="15" hidden="false" customHeight="false" outlineLevel="0" collapsed="false">
      <c r="A191" s="3" t="n">
        <v>187</v>
      </c>
      <c r="B191" s="8" t="n">
        <v>45777</v>
      </c>
      <c r="C191" s="3" t="s">
        <v>410</v>
      </c>
      <c r="D191" s="3" t="s">
        <v>140</v>
      </c>
      <c r="E191" s="9" t="n">
        <v>699.95</v>
      </c>
      <c r="F191" s="9"/>
      <c r="G191" s="9" t="n">
        <f aca="false">N(F191)-N(E191)</f>
        <v>-699.95</v>
      </c>
      <c r="H191" s="3" t="n">
        <f aca="false">MONTH(B191)</f>
        <v>4</v>
      </c>
      <c r="I191" s="3" t="s">
        <v>1911</v>
      </c>
      <c r="J191" s="3" t="s">
        <v>1883</v>
      </c>
      <c r="K191" s="3" t="s">
        <v>1884</v>
      </c>
      <c r="L191" s="3" t="s">
        <v>1912</v>
      </c>
      <c r="M191" s="3" t="s">
        <v>1387</v>
      </c>
      <c r="N191" s="11" t="s">
        <v>1913</v>
      </c>
    </row>
    <row r="192" customFormat="false" ht="15" hidden="false" customHeight="false" outlineLevel="0" collapsed="false">
      <c r="A192" s="3" t="n">
        <v>188</v>
      </c>
      <c r="B192" s="8" t="n">
        <v>45777</v>
      </c>
      <c r="C192" s="3" t="s">
        <v>411</v>
      </c>
      <c r="D192" s="3" t="s">
        <v>412</v>
      </c>
      <c r="E192" s="9" t="n">
        <v>750</v>
      </c>
      <c r="F192" s="9"/>
      <c r="G192" s="9" t="n">
        <f aca="false">N(F192)-N(E192)</f>
        <v>-750</v>
      </c>
      <c r="H192" s="3" t="n">
        <f aca="false">MONTH(B192)</f>
        <v>4</v>
      </c>
      <c r="I192" s="3" t="s">
        <v>1914</v>
      </c>
      <c r="J192" s="3" t="s">
        <v>1883</v>
      </c>
      <c r="K192" s="3" t="s">
        <v>1884</v>
      </c>
      <c r="L192" s="3" t="s">
        <v>1912</v>
      </c>
      <c r="M192" s="3" t="s">
        <v>1387</v>
      </c>
      <c r="N192" s="11" t="s">
        <v>1913</v>
      </c>
    </row>
    <row r="193" customFormat="false" ht="15" hidden="false" customHeight="false" outlineLevel="0" collapsed="false">
      <c r="A193" s="3" t="n">
        <v>189</v>
      </c>
      <c r="B193" s="8" t="n">
        <v>45779</v>
      </c>
      <c r="C193" s="3" t="s">
        <v>413</v>
      </c>
      <c r="D193" s="3" t="s">
        <v>414</v>
      </c>
      <c r="E193" s="9"/>
      <c r="F193" s="9" t="n">
        <v>3454200</v>
      </c>
      <c r="G193" s="9" t="n">
        <f aca="false">N(F193)-N(E193)</f>
        <v>3454200</v>
      </c>
      <c r="H193" s="3" t="n">
        <f aca="false">MONTH(B193)</f>
        <v>5</v>
      </c>
      <c r="I193" s="3" t="s">
        <v>1882</v>
      </c>
      <c r="J193" s="3" t="s">
        <v>1883</v>
      </c>
      <c r="K193" s="3" t="s">
        <v>1884</v>
      </c>
      <c r="L193" s="3" t="s">
        <v>1915</v>
      </c>
      <c r="M193" s="3" t="s">
        <v>1385</v>
      </c>
      <c r="N193" s="11"/>
    </row>
    <row r="194" customFormat="false" ht="15" hidden="false" customHeight="false" outlineLevel="0" collapsed="false">
      <c r="A194" s="3" t="n">
        <v>190</v>
      </c>
      <c r="B194" s="8" t="n">
        <v>45782</v>
      </c>
      <c r="C194" s="3" t="s">
        <v>415</v>
      </c>
      <c r="D194" s="3" t="s">
        <v>416</v>
      </c>
      <c r="E194" s="9"/>
      <c r="F194" s="9" t="n">
        <v>1129200</v>
      </c>
      <c r="G194" s="9" t="n">
        <f aca="false">N(F194)-N(E194)</f>
        <v>1129200</v>
      </c>
      <c r="H194" s="3" t="n">
        <f aca="false">MONTH(B194)</f>
        <v>5</v>
      </c>
      <c r="I194" s="3" t="s">
        <v>1882</v>
      </c>
      <c r="J194" s="3" t="s">
        <v>1883</v>
      </c>
      <c r="K194" s="3" t="s">
        <v>1884</v>
      </c>
      <c r="L194" s="3" t="s">
        <v>1885</v>
      </c>
      <c r="M194" s="3" t="s">
        <v>1389</v>
      </c>
      <c r="N194" s="11"/>
    </row>
    <row r="195" customFormat="false" ht="15" hidden="false" customHeight="false" outlineLevel="0" collapsed="false">
      <c r="A195" s="3" t="n">
        <v>191</v>
      </c>
      <c r="B195" s="8" t="n">
        <v>45782</v>
      </c>
      <c r="C195" s="3" t="s">
        <v>417</v>
      </c>
      <c r="D195" s="3" t="s">
        <v>418</v>
      </c>
      <c r="E195" s="9" t="n">
        <v>85000</v>
      </c>
      <c r="F195" s="9"/>
      <c r="G195" s="9" t="n">
        <f aca="false">N(F195)-N(E195)</f>
        <v>-85000</v>
      </c>
      <c r="H195" s="3" t="n">
        <f aca="false">MONTH(B195)</f>
        <v>5</v>
      </c>
      <c r="I195" s="3" t="s">
        <v>1888</v>
      </c>
      <c r="J195" s="3" t="s">
        <v>1883</v>
      </c>
      <c r="K195" s="3" t="s">
        <v>1884</v>
      </c>
      <c r="L195" s="3" t="s">
        <v>1885</v>
      </c>
      <c r="M195" s="3" t="s">
        <v>1393</v>
      </c>
      <c r="N195" s="11"/>
    </row>
    <row r="196" customFormat="false" ht="15" hidden="false" customHeight="false" outlineLevel="0" collapsed="false">
      <c r="A196" s="3" t="n">
        <v>192</v>
      </c>
      <c r="B196" s="8" t="n">
        <v>45782</v>
      </c>
      <c r="C196" s="3" t="s">
        <v>419</v>
      </c>
      <c r="D196" s="3" t="s">
        <v>420</v>
      </c>
      <c r="E196" s="9" t="n">
        <v>242861.85</v>
      </c>
      <c r="F196" s="9"/>
      <c r="G196" s="9" t="n">
        <f aca="false">N(F196)-N(E196)</f>
        <v>-242861.85</v>
      </c>
      <c r="H196" s="3" t="n">
        <f aca="false">MONTH(B196)</f>
        <v>5</v>
      </c>
      <c r="I196" s="3" t="s">
        <v>1893</v>
      </c>
      <c r="J196" s="3" t="s">
        <v>1883</v>
      </c>
      <c r="K196" s="3" t="s">
        <v>1884</v>
      </c>
      <c r="L196" s="3" t="s">
        <v>1885</v>
      </c>
      <c r="M196" s="3" t="s">
        <v>1391</v>
      </c>
      <c r="N196" s="11" t="s">
        <v>1894</v>
      </c>
    </row>
    <row r="197" customFormat="false" ht="15" hidden="false" customHeight="false" outlineLevel="0" collapsed="false">
      <c r="A197" s="3" t="n">
        <v>193</v>
      </c>
      <c r="B197" s="8" t="n">
        <v>45782</v>
      </c>
      <c r="C197" s="3" t="s">
        <v>421</v>
      </c>
      <c r="D197" s="3" t="s">
        <v>422</v>
      </c>
      <c r="E197" s="9" t="n">
        <v>195534.76</v>
      </c>
      <c r="F197" s="9"/>
      <c r="G197" s="9" t="n">
        <f aca="false">N(F197)-N(E197)</f>
        <v>-195534.76</v>
      </c>
      <c r="H197" s="3" t="n">
        <f aca="false">MONTH(B197)</f>
        <v>5</v>
      </c>
      <c r="I197" s="3" t="s">
        <v>1901</v>
      </c>
      <c r="J197" s="3" t="s">
        <v>1883</v>
      </c>
      <c r="K197" s="3" t="s">
        <v>1884</v>
      </c>
      <c r="L197" s="3" t="s">
        <v>1885</v>
      </c>
      <c r="M197" s="3" t="s">
        <v>1394</v>
      </c>
      <c r="N197" s="11" t="s">
        <v>1902</v>
      </c>
    </row>
    <row r="198" customFormat="false" ht="15" hidden="false" customHeight="false" outlineLevel="0" collapsed="false">
      <c r="A198" s="3" t="n">
        <v>194</v>
      </c>
      <c r="B198" s="8" t="n">
        <v>45783</v>
      </c>
      <c r="C198" s="3" t="s">
        <v>423</v>
      </c>
      <c r="D198" s="3" t="s">
        <v>424</v>
      </c>
      <c r="E198" s="9"/>
      <c r="F198" s="9" t="n">
        <v>1090888.76</v>
      </c>
      <c r="G198" s="9" t="n">
        <f aca="false">N(F198)-N(E198)</f>
        <v>1090888.76</v>
      </c>
      <c r="H198" s="3" t="n">
        <f aca="false">MONTH(B198)</f>
        <v>5</v>
      </c>
      <c r="I198" s="3" t="s">
        <v>1886</v>
      </c>
      <c r="J198" s="3" t="s">
        <v>1883</v>
      </c>
      <c r="K198" s="3" t="s">
        <v>1884</v>
      </c>
      <c r="L198" s="3" t="s">
        <v>1885</v>
      </c>
      <c r="M198" s="3" t="s">
        <v>1392</v>
      </c>
      <c r="N198" s="11" t="s">
        <v>1887</v>
      </c>
    </row>
    <row r="199" customFormat="false" ht="15" hidden="false" customHeight="false" outlineLevel="0" collapsed="false">
      <c r="A199" s="12" t="n">
        <v>195</v>
      </c>
      <c r="B199" s="13" t="n">
        <v>45784</v>
      </c>
      <c r="C199" s="12" t="s">
        <v>425</v>
      </c>
      <c r="D199" s="12" t="s">
        <v>426</v>
      </c>
      <c r="E199" s="14" t="n">
        <v>2691300</v>
      </c>
      <c r="F199" s="14"/>
      <c r="G199" s="14" t="n">
        <f aca="false">N(F199)-N(E199)</f>
        <v>-2691300</v>
      </c>
      <c r="H199" s="12" t="n">
        <f aca="false">MONTH(B199)</f>
        <v>5</v>
      </c>
      <c r="I199" s="12" t="s">
        <v>1899</v>
      </c>
      <c r="J199" s="12" t="s">
        <v>1883</v>
      </c>
      <c r="K199" s="12" t="s">
        <v>1896</v>
      </c>
      <c r="L199" s="12" t="s">
        <v>1885</v>
      </c>
      <c r="M199" s="12" t="s">
        <v>1395</v>
      </c>
      <c r="N199" s="15" t="s">
        <v>1937</v>
      </c>
    </row>
    <row r="200" customFormat="false" ht="15" hidden="false" customHeight="false" outlineLevel="0" collapsed="false">
      <c r="A200" s="3" t="n">
        <v>196</v>
      </c>
      <c r="B200" s="8" t="n">
        <v>45786</v>
      </c>
      <c r="C200" s="3" t="s">
        <v>427</v>
      </c>
      <c r="D200" s="3" t="s">
        <v>428</v>
      </c>
      <c r="E200" s="9"/>
      <c r="F200" s="9" t="n">
        <v>550315.14</v>
      </c>
      <c r="G200" s="9" t="n">
        <f aca="false">N(F200)-N(E200)</f>
        <v>550315.14</v>
      </c>
      <c r="H200" s="3" t="n">
        <f aca="false">MONTH(B200)</f>
        <v>5</v>
      </c>
      <c r="I200" s="3" t="s">
        <v>1891</v>
      </c>
      <c r="J200" s="3" t="s">
        <v>1883</v>
      </c>
      <c r="K200" s="3" t="s">
        <v>1884</v>
      </c>
      <c r="L200" s="3" t="s">
        <v>1885</v>
      </c>
      <c r="M200" s="3" t="s">
        <v>1396</v>
      </c>
      <c r="N200" s="11" t="s">
        <v>1892</v>
      </c>
    </row>
    <row r="201" customFormat="false" ht="15" hidden="false" customHeight="false" outlineLevel="0" collapsed="false">
      <c r="A201" s="3" t="n">
        <v>197</v>
      </c>
      <c r="B201" s="8" t="n">
        <v>45789</v>
      </c>
      <c r="C201" s="3" t="s">
        <v>429</v>
      </c>
      <c r="D201" s="3" t="s">
        <v>430</v>
      </c>
      <c r="E201" s="9" t="n">
        <v>3394200</v>
      </c>
      <c r="F201" s="9"/>
      <c r="G201" s="9" t="n">
        <f aca="false">N(F201)-N(E201)</f>
        <v>-3394200</v>
      </c>
      <c r="H201" s="3" t="n">
        <f aca="false">MONTH(B201)</f>
        <v>5</v>
      </c>
      <c r="I201" s="3" t="s">
        <v>1899</v>
      </c>
      <c r="J201" s="3" t="s">
        <v>1883</v>
      </c>
      <c r="K201" s="3" t="s">
        <v>1884</v>
      </c>
      <c r="L201" s="3" t="s">
        <v>1885</v>
      </c>
      <c r="M201" s="3" t="s">
        <v>1397</v>
      </c>
      <c r="N201" s="11"/>
    </row>
    <row r="202" customFormat="false" ht="15" hidden="false" customHeight="false" outlineLevel="0" collapsed="false">
      <c r="A202" s="3" t="n">
        <v>198</v>
      </c>
      <c r="B202" s="8" t="n">
        <v>45789</v>
      </c>
      <c r="C202" s="3" t="s">
        <v>431</v>
      </c>
      <c r="D202" s="3" t="s">
        <v>432</v>
      </c>
      <c r="E202" s="9" t="n">
        <v>450800</v>
      </c>
      <c r="F202" s="9"/>
      <c r="G202" s="9" t="n">
        <f aca="false">N(F202)-N(E202)</f>
        <v>-450800</v>
      </c>
      <c r="H202" s="3" t="n">
        <f aca="false">MONTH(B202)</f>
        <v>5</v>
      </c>
      <c r="I202" s="3" t="s">
        <v>1898</v>
      </c>
      <c r="J202" s="3" t="s">
        <v>1883</v>
      </c>
      <c r="K202" s="3" t="s">
        <v>1884</v>
      </c>
      <c r="L202" s="3" t="s">
        <v>1885</v>
      </c>
      <c r="M202" s="3" t="s">
        <v>1398</v>
      </c>
      <c r="N202" s="11"/>
    </row>
    <row r="203" customFormat="false" ht="15" hidden="false" customHeight="false" outlineLevel="0" collapsed="false">
      <c r="A203" s="3" t="n">
        <v>199</v>
      </c>
      <c r="B203" s="8" t="n">
        <v>45789</v>
      </c>
      <c r="C203" s="3" t="s">
        <v>433</v>
      </c>
      <c r="D203" s="3" t="s">
        <v>434</v>
      </c>
      <c r="E203" s="9" t="n">
        <v>160831.64</v>
      </c>
      <c r="F203" s="9"/>
      <c r="G203" s="9" t="n">
        <f aca="false">N(F203)-N(E203)</f>
        <v>-160831.64</v>
      </c>
      <c r="H203" s="3" t="n">
        <f aca="false">MONTH(B203)</f>
        <v>5</v>
      </c>
      <c r="I203" s="3" t="s">
        <v>1900</v>
      </c>
      <c r="J203" s="3" t="s">
        <v>1883</v>
      </c>
      <c r="K203" s="3" t="s">
        <v>1884</v>
      </c>
      <c r="L203" s="3" t="s">
        <v>1885</v>
      </c>
      <c r="M203" s="3" t="s">
        <v>1400</v>
      </c>
      <c r="N203" s="11"/>
    </row>
    <row r="204" customFormat="false" ht="15" hidden="false" customHeight="false" outlineLevel="0" collapsed="false">
      <c r="A204" s="12" t="n">
        <v>200</v>
      </c>
      <c r="B204" s="13" t="n">
        <v>45789</v>
      </c>
      <c r="C204" s="12" t="s">
        <v>435</v>
      </c>
      <c r="D204" s="12" t="s">
        <v>436</v>
      </c>
      <c r="E204" s="14" t="n">
        <v>578000</v>
      </c>
      <c r="F204" s="14"/>
      <c r="G204" s="14" t="n">
        <f aca="false">N(F204)-N(E204)</f>
        <v>-578000</v>
      </c>
      <c r="H204" s="12" t="n">
        <f aca="false">MONTH(B204)</f>
        <v>5</v>
      </c>
      <c r="I204" s="12" t="s">
        <v>1908</v>
      </c>
      <c r="J204" s="12" t="s">
        <v>1883</v>
      </c>
      <c r="K204" s="12" t="s">
        <v>1896</v>
      </c>
      <c r="L204" s="12" t="s">
        <v>1885</v>
      </c>
      <c r="M204" s="12" t="s">
        <v>1401</v>
      </c>
      <c r="N204" s="15" t="s">
        <v>1909</v>
      </c>
    </row>
    <row r="205" customFormat="false" ht="15" hidden="false" customHeight="false" outlineLevel="0" collapsed="false">
      <c r="A205" s="3" t="n">
        <v>201</v>
      </c>
      <c r="B205" s="8" t="n">
        <v>45789</v>
      </c>
      <c r="C205" s="3" t="s">
        <v>437</v>
      </c>
      <c r="D205" s="3" t="s">
        <v>438</v>
      </c>
      <c r="E205" s="9" t="n">
        <v>1057421.95</v>
      </c>
      <c r="F205" s="9"/>
      <c r="G205" s="9" t="n">
        <f aca="false">N(F205)-N(E205)</f>
        <v>-1057421.95</v>
      </c>
      <c r="H205" s="3" t="n">
        <f aca="false">MONTH(B205)</f>
        <v>5</v>
      </c>
      <c r="I205" s="3" t="s">
        <v>1944</v>
      </c>
      <c r="J205" s="3" t="s">
        <v>1920</v>
      </c>
      <c r="K205" s="3" t="s">
        <v>1884</v>
      </c>
      <c r="L205" s="3" t="s">
        <v>1885</v>
      </c>
      <c r="M205" s="3" t="s">
        <v>1402</v>
      </c>
      <c r="N205" s="11" t="s">
        <v>1945</v>
      </c>
    </row>
    <row r="206" customFormat="false" ht="15" hidden="false" customHeight="false" outlineLevel="0" collapsed="false">
      <c r="A206" s="3" t="n">
        <v>202</v>
      </c>
      <c r="B206" s="8" t="n">
        <v>45790</v>
      </c>
      <c r="C206" s="3" t="s">
        <v>439</v>
      </c>
      <c r="D206" s="3" t="s">
        <v>440</v>
      </c>
      <c r="E206" s="9"/>
      <c r="F206" s="9" t="n">
        <v>1989748.34</v>
      </c>
      <c r="G206" s="9" t="n">
        <f aca="false">N(F206)-N(E206)</f>
        <v>1989748.34</v>
      </c>
      <c r="H206" s="3" t="n">
        <f aca="false">MONTH(B206)</f>
        <v>5</v>
      </c>
      <c r="I206" s="3" t="s">
        <v>1886</v>
      </c>
      <c r="J206" s="3" t="s">
        <v>1883</v>
      </c>
      <c r="K206" s="3" t="s">
        <v>1884</v>
      </c>
      <c r="L206" s="3" t="s">
        <v>1885</v>
      </c>
      <c r="M206" s="3" t="s">
        <v>1404</v>
      </c>
      <c r="N206" s="11" t="s">
        <v>1887</v>
      </c>
    </row>
    <row r="207" customFormat="false" ht="15" hidden="false" customHeight="false" outlineLevel="0" collapsed="false">
      <c r="A207" s="3" t="n">
        <v>203</v>
      </c>
      <c r="B207" s="8" t="n">
        <v>45791</v>
      </c>
      <c r="C207" s="3" t="s">
        <v>441</v>
      </c>
      <c r="D207" s="3" t="s">
        <v>442</v>
      </c>
      <c r="E207" s="9"/>
      <c r="F207" s="9" t="n">
        <v>2400000</v>
      </c>
      <c r="G207" s="9" t="n">
        <f aca="false">N(F207)-N(E207)</f>
        <v>2400000</v>
      </c>
      <c r="H207" s="3" t="n">
        <f aca="false">MONTH(B207)</f>
        <v>5</v>
      </c>
      <c r="I207" s="3" t="s">
        <v>1882</v>
      </c>
      <c r="J207" s="3" t="s">
        <v>1883</v>
      </c>
      <c r="K207" s="3" t="s">
        <v>1884</v>
      </c>
      <c r="L207" s="3" t="s">
        <v>1912</v>
      </c>
      <c r="M207" s="3" t="s">
        <v>1410</v>
      </c>
      <c r="N207" s="11"/>
    </row>
    <row r="208" customFormat="false" ht="15" hidden="false" customHeight="false" outlineLevel="0" collapsed="false">
      <c r="A208" s="3" t="n">
        <v>204</v>
      </c>
      <c r="B208" s="8" t="n">
        <v>45791</v>
      </c>
      <c r="C208" s="3" t="s">
        <v>443</v>
      </c>
      <c r="D208" s="3" t="s">
        <v>444</v>
      </c>
      <c r="E208" s="9"/>
      <c r="F208" s="9" t="n">
        <v>2400000</v>
      </c>
      <c r="G208" s="9" t="n">
        <f aca="false">N(F208)-N(E208)</f>
        <v>2400000</v>
      </c>
      <c r="H208" s="3" t="n">
        <f aca="false">MONTH(B208)</f>
        <v>5</v>
      </c>
      <c r="I208" s="3" t="s">
        <v>1882</v>
      </c>
      <c r="J208" s="3" t="s">
        <v>1883</v>
      </c>
      <c r="K208" s="3" t="s">
        <v>1884</v>
      </c>
      <c r="L208" s="3" t="s">
        <v>1912</v>
      </c>
      <c r="M208" s="3" t="s">
        <v>1410</v>
      </c>
      <c r="N208" s="11" t="s">
        <v>1946</v>
      </c>
    </row>
    <row r="209" customFormat="false" ht="15" hidden="false" customHeight="false" outlineLevel="0" collapsed="false">
      <c r="A209" s="3" t="n">
        <v>205</v>
      </c>
      <c r="B209" s="8" t="n">
        <v>45792</v>
      </c>
      <c r="C209" s="3" t="s">
        <v>445</v>
      </c>
      <c r="D209" s="3" t="s">
        <v>446</v>
      </c>
      <c r="E209" s="9" t="n">
        <v>828000</v>
      </c>
      <c r="F209" s="9"/>
      <c r="G209" s="9" t="n">
        <f aca="false">N(F209)-N(E209)</f>
        <v>-828000</v>
      </c>
      <c r="H209" s="3" t="n">
        <f aca="false">MONTH(B209)</f>
        <v>5</v>
      </c>
      <c r="I209" s="3" t="s">
        <v>1903</v>
      </c>
      <c r="J209" s="3" t="s">
        <v>1883</v>
      </c>
      <c r="K209" s="3" t="s">
        <v>1884</v>
      </c>
      <c r="L209" s="3" t="s">
        <v>1885</v>
      </c>
      <c r="M209" s="3" t="s">
        <v>1406</v>
      </c>
      <c r="N209" s="11"/>
    </row>
    <row r="210" customFormat="false" ht="15" hidden="false" customHeight="false" outlineLevel="0" collapsed="false">
      <c r="A210" s="3" t="n">
        <v>206</v>
      </c>
      <c r="B210" s="8" t="n">
        <v>45792</v>
      </c>
      <c r="C210" s="3" t="s">
        <v>447</v>
      </c>
      <c r="D210" s="3" t="s">
        <v>448</v>
      </c>
      <c r="E210" s="9" t="n">
        <v>284088.56</v>
      </c>
      <c r="F210" s="9"/>
      <c r="G210" s="9" t="n">
        <f aca="false">N(F210)-N(E210)</f>
        <v>-284088.56</v>
      </c>
      <c r="H210" s="3" t="n">
        <f aca="false">MONTH(B210)</f>
        <v>5</v>
      </c>
      <c r="I210" s="3" t="s">
        <v>1893</v>
      </c>
      <c r="J210" s="3" t="s">
        <v>1883</v>
      </c>
      <c r="K210" s="3" t="s">
        <v>1884</v>
      </c>
      <c r="L210" s="3" t="s">
        <v>1885</v>
      </c>
      <c r="M210" s="3" t="s">
        <v>1405</v>
      </c>
      <c r="N210" s="11" t="s">
        <v>1894</v>
      </c>
    </row>
    <row r="211" customFormat="false" ht="15" hidden="false" customHeight="false" outlineLevel="0" collapsed="false">
      <c r="A211" s="12" t="n">
        <v>207</v>
      </c>
      <c r="B211" s="13" t="n">
        <v>45793</v>
      </c>
      <c r="C211" s="12" t="s">
        <v>449</v>
      </c>
      <c r="D211" s="12" t="s">
        <v>450</v>
      </c>
      <c r="E211" s="14"/>
      <c r="F211" s="14" t="n">
        <v>3760200</v>
      </c>
      <c r="G211" s="14" t="n">
        <f aca="false">N(F211)-N(E211)</f>
        <v>3760200</v>
      </c>
      <c r="H211" s="12" t="n">
        <f aca="false">MONTH(B211)</f>
        <v>5</v>
      </c>
      <c r="I211" s="12" t="s">
        <v>1882</v>
      </c>
      <c r="J211" s="12" t="s">
        <v>1883</v>
      </c>
      <c r="K211" s="12" t="s">
        <v>1896</v>
      </c>
      <c r="L211" s="12" t="s">
        <v>1885</v>
      </c>
      <c r="M211" s="12" t="s">
        <v>1412</v>
      </c>
      <c r="N211" s="15" t="s">
        <v>1907</v>
      </c>
    </row>
    <row r="212" customFormat="false" ht="15" hidden="false" customHeight="false" outlineLevel="0" collapsed="false">
      <c r="A212" s="3" t="n">
        <v>208</v>
      </c>
      <c r="B212" s="8" t="n">
        <v>45793</v>
      </c>
      <c r="C212" s="3" t="s">
        <v>451</v>
      </c>
      <c r="D212" s="3" t="s">
        <v>452</v>
      </c>
      <c r="E212" s="9"/>
      <c r="F212" s="9" t="n">
        <v>1737400</v>
      </c>
      <c r="G212" s="9" t="n">
        <f aca="false">N(F212)-N(E212)</f>
        <v>1737400</v>
      </c>
      <c r="H212" s="3" t="n">
        <f aca="false">MONTH(B212)</f>
        <v>5</v>
      </c>
      <c r="I212" s="3" t="s">
        <v>1882</v>
      </c>
      <c r="J212" s="3" t="s">
        <v>1883</v>
      </c>
      <c r="K212" s="3" t="s">
        <v>1884</v>
      </c>
      <c r="L212" s="3" t="s">
        <v>1885</v>
      </c>
      <c r="M212" s="3" t="s">
        <v>1408</v>
      </c>
      <c r="N212" s="11"/>
    </row>
    <row r="213" customFormat="false" ht="15" hidden="false" customHeight="false" outlineLevel="0" collapsed="false">
      <c r="A213" s="12" t="n">
        <v>209</v>
      </c>
      <c r="B213" s="13" t="n">
        <v>45793</v>
      </c>
      <c r="C213" s="12" t="s">
        <v>453</v>
      </c>
      <c r="D213" s="12" t="s">
        <v>454</v>
      </c>
      <c r="E213" s="14" t="n">
        <v>1623800</v>
      </c>
      <c r="F213" s="14"/>
      <c r="G213" s="14" t="n">
        <f aca="false">N(F213)-N(E213)</f>
        <v>-1623800</v>
      </c>
      <c r="H213" s="12" t="n">
        <f aca="false">MONTH(B213)</f>
        <v>5</v>
      </c>
      <c r="I213" s="12" t="s">
        <v>1899</v>
      </c>
      <c r="J213" s="12" t="s">
        <v>1883</v>
      </c>
      <c r="K213" s="12" t="s">
        <v>1896</v>
      </c>
      <c r="L213" s="12" t="s">
        <v>1885</v>
      </c>
      <c r="M213" s="12" t="s">
        <v>1413</v>
      </c>
      <c r="N213" s="15" t="s">
        <v>1937</v>
      </c>
    </row>
    <row r="214" customFormat="false" ht="15" hidden="false" customHeight="false" outlineLevel="0" collapsed="false">
      <c r="A214" s="3" t="n">
        <v>210</v>
      </c>
      <c r="B214" s="8" t="n">
        <v>45793</v>
      </c>
      <c r="C214" s="3" t="s">
        <v>455</v>
      </c>
      <c r="D214" s="3" t="s">
        <v>456</v>
      </c>
      <c r="E214" s="9" t="n">
        <v>345400</v>
      </c>
      <c r="F214" s="9"/>
      <c r="G214" s="9" t="n">
        <f aca="false">N(F214)-N(E214)</f>
        <v>-345400</v>
      </c>
      <c r="H214" s="3" t="n">
        <f aca="false">MONTH(B214)</f>
        <v>5</v>
      </c>
      <c r="I214" s="3" t="s">
        <v>1888</v>
      </c>
      <c r="J214" s="3" t="s">
        <v>1883</v>
      </c>
      <c r="K214" s="3" t="s">
        <v>1884</v>
      </c>
      <c r="L214" s="3" t="s">
        <v>1885</v>
      </c>
      <c r="M214" s="3" t="s">
        <v>1414</v>
      </c>
      <c r="N214" s="11"/>
    </row>
    <row r="215" customFormat="false" ht="15" hidden="false" customHeight="false" outlineLevel="0" collapsed="false">
      <c r="A215" s="3" t="n">
        <v>211</v>
      </c>
      <c r="B215" s="8" t="n">
        <v>45796</v>
      </c>
      <c r="C215" s="3" t="s">
        <v>457</v>
      </c>
      <c r="D215" s="3" t="s">
        <v>458</v>
      </c>
      <c r="E215" s="9" t="n">
        <v>129091.53</v>
      </c>
      <c r="F215" s="9"/>
      <c r="G215" s="9" t="n">
        <f aca="false">N(F215)-N(E215)</f>
        <v>-129091.53</v>
      </c>
      <c r="H215" s="3" t="n">
        <f aca="false">MONTH(B215)</f>
        <v>5</v>
      </c>
      <c r="I215" s="3" t="s">
        <v>1893</v>
      </c>
      <c r="J215" s="3" t="s">
        <v>1883</v>
      </c>
      <c r="K215" s="3" t="s">
        <v>1884</v>
      </c>
      <c r="L215" s="3" t="s">
        <v>1885</v>
      </c>
      <c r="M215" s="3" t="s">
        <v>1415</v>
      </c>
      <c r="N215" s="11" t="s">
        <v>1894</v>
      </c>
    </row>
    <row r="216" customFormat="false" ht="15" hidden="false" customHeight="false" outlineLevel="0" collapsed="false">
      <c r="A216" s="3" t="n">
        <v>212</v>
      </c>
      <c r="B216" s="8" t="n">
        <v>45796</v>
      </c>
      <c r="C216" s="3" t="s">
        <v>459</v>
      </c>
      <c r="D216" s="3" t="s">
        <v>460</v>
      </c>
      <c r="E216" s="9" t="n">
        <v>169680.77</v>
      </c>
      <c r="F216" s="9"/>
      <c r="G216" s="9" t="n">
        <f aca="false">N(F216)-N(E216)</f>
        <v>-169680.77</v>
      </c>
      <c r="H216" s="3" t="n">
        <f aca="false">MONTH(B216)</f>
        <v>5</v>
      </c>
      <c r="I216" s="3" t="s">
        <v>1901</v>
      </c>
      <c r="J216" s="3" t="s">
        <v>1883</v>
      </c>
      <c r="K216" s="3" t="s">
        <v>1884</v>
      </c>
      <c r="L216" s="3" t="s">
        <v>1885</v>
      </c>
      <c r="M216" s="3" t="s">
        <v>1416</v>
      </c>
      <c r="N216" s="11" t="s">
        <v>1902</v>
      </c>
    </row>
    <row r="217" customFormat="false" ht="15" hidden="false" customHeight="false" outlineLevel="0" collapsed="false">
      <c r="A217" s="12" t="n">
        <v>213</v>
      </c>
      <c r="B217" s="13" t="n">
        <v>45796</v>
      </c>
      <c r="C217" s="12" t="s">
        <v>461</v>
      </c>
      <c r="D217" s="12" t="s">
        <v>282</v>
      </c>
      <c r="E217" s="14" t="n">
        <v>365000</v>
      </c>
      <c r="F217" s="14"/>
      <c r="G217" s="14" t="n">
        <f aca="false">N(F217)-N(E217)</f>
        <v>-365000</v>
      </c>
      <c r="H217" s="12" t="n">
        <f aca="false">MONTH(B217)</f>
        <v>5</v>
      </c>
      <c r="I217" s="12" t="s">
        <v>1933</v>
      </c>
      <c r="J217" s="12" t="s">
        <v>1883</v>
      </c>
      <c r="K217" s="12" t="s">
        <v>1896</v>
      </c>
      <c r="L217" s="12" t="s">
        <v>1885</v>
      </c>
      <c r="M217" s="12" t="s">
        <v>1417</v>
      </c>
      <c r="N217" s="15" t="s">
        <v>1934</v>
      </c>
    </row>
    <row r="218" customFormat="false" ht="15" hidden="false" customHeight="false" outlineLevel="0" collapsed="false">
      <c r="A218" s="3" t="n">
        <v>214</v>
      </c>
      <c r="B218" s="8" t="n">
        <v>45797</v>
      </c>
      <c r="C218" s="3" t="s">
        <v>462</v>
      </c>
      <c r="D218" s="3" t="s">
        <v>463</v>
      </c>
      <c r="E218" s="9"/>
      <c r="F218" s="9" t="n">
        <v>738581.76</v>
      </c>
      <c r="G218" s="9" t="n">
        <f aca="false">N(F218)-N(E218)</f>
        <v>738581.76</v>
      </c>
      <c r="H218" s="3" t="n">
        <f aca="false">MONTH(B218)</f>
        <v>5</v>
      </c>
      <c r="I218" s="3" t="s">
        <v>1886</v>
      </c>
      <c r="J218" s="3" t="s">
        <v>1883</v>
      </c>
      <c r="K218" s="3" t="s">
        <v>1884</v>
      </c>
      <c r="L218" s="3" t="s">
        <v>1885</v>
      </c>
      <c r="M218" s="3" t="s">
        <v>1418</v>
      </c>
      <c r="N218" s="11" t="s">
        <v>1887</v>
      </c>
    </row>
    <row r="219" customFormat="false" ht="15" hidden="false" customHeight="false" outlineLevel="0" collapsed="false">
      <c r="A219" s="12" t="n">
        <v>215</v>
      </c>
      <c r="B219" s="13" t="n">
        <v>45797</v>
      </c>
      <c r="C219" s="12" t="s">
        <v>464</v>
      </c>
      <c r="D219" s="12" t="s">
        <v>192</v>
      </c>
      <c r="E219" s="14"/>
      <c r="F219" s="14" t="n">
        <v>958309.97</v>
      </c>
      <c r="G219" s="14" t="n">
        <f aca="false">N(F219)-N(E219)</f>
        <v>958309.97</v>
      </c>
      <c r="H219" s="12" t="n">
        <f aca="false">MONTH(B219)</f>
        <v>5</v>
      </c>
      <c r="I219" s="12" t="s">
        <v>1895</v>
      </c>
      <c r="J219" s="12" t="s">
        <v>1883</v>
      </c>
      <c r="K219" s="12" t="s">
        <v>1896</v>
      </c>
      <c r="L219" s="12" t="s">
        <v>1885</v>
      </c>
      <c r="M219" s="12" t="s">
        <v>1419</v>
      </c>
      <c r="N219" s="15" t="s">
        <v>1897</v>
      </c>
    </row>
    <row r="220" customFormat="false" ht="15" hidden="false" customHeight="false" outlineLevel="0" collapsed="false">
      <c r="A220" s="16" t="n">
        <v>216</v>
      </c>
      <c r="B220" s="17" t="n">
        <v>45797</v>
      </c>
      <c r="C220" s="16" t="s">
        <v>465</v>
      </c>
      <c r="D220" s="16" t="s">
        <v>466</v>
      </c>
      <c r="E220" s="18"/>
      <c r="F220" s="18" t="n">
        <v>320000</v>
      </c>
      <c r="G220" s="18" t="n">
        <f aca="false">N(F220)-N(E220)</f>
        <v>320000</v>
      </c>
      <c r="H220" s="16" t="n">
        <f aca="false">MONTH(B220)</f>
        <v>5</v>
      </c>
      <c r="I220" s="16" t="s">
        <v>1947</v>
      </c>
      <c r="J220" s="16" t="s">
        <v>1883</v>
      </c>
      <c r="K220" s="16" t="s">
        <v>1921</v>
      </c>
      <c r="L220" s="16" t="s">
        <v>1885</v>
      </c>
      <c r="M220" s="16" t="s">
        <v>1420</v>
      </c>
      <c r="N220" s="19" t="s">
        <v>1948</v>
      </c>
    </row>
    <row r="221" customFormat="false" ht="15" hidden="false" customHeight="false" outlineLevel="0" collapsed="false">
      <c r="A221" s="12" t="n">
        <v>217</v>
      </c>
      <c r="B221" s="13" t="n">
        <v>45798</v>
      </c>
      <c r="C221" s="12" t="s">
        <v>467</v>
      </c>
      <c r="D221" s="12" t="s">
        <v>468</v>
      </c>
      <c r="E221" s="14"/>
      <c r="F221" s="14" t="n">
        <v>1857600</v>
      </c>
      <c r="G221" s="14" t="n">
        <f aca="false">N(F221)-N(E221)</f>
        <v>1857600</v>
      </c>
      <c r="H221" s="12" t="n">
        <f aca="false">MONTH(B221)</f>
        <v>5</v>
      </c>
      <c r="I221" s="12" t="s">
        <v>1882</v>
      </c>
      <c r="J221" s="12" t="s">
        <v>1883</v>
      </c>
      <c r="K221" s="12" t="s">
        <v>1896</v>
      </c>
      <c r="L221" s="12" t="s">
        <v>1885</v>
      </c>
      <c r="M221" s="12" t="s">
        <v>1424</v>
      </c>
      <c r="N221" s="15" t="s">
        <v>1907</v>
      </c>
    </row>
    <row r="222" customFormat="false" ht="15" hidden="false" customHeight="false" outlineLevel="0" collapsed="false">
      <c r="A222" s="3" t="n">
        <v>218</v>
      </c>
      <c r="B222" s="8" t="n">
        <v>45798</v>
      </c>
      <c r="C222" s="3" t="s">
        <v>469</v>
      </c>
      <c r="D222" s="3" t="s">
        <v>470</v>
      </c>
      <c r="E222" s="9" t="n">
        <v>1154746.34</v>
      </c>
      <c r="F222" s="9"/>
      <c r="G222" s="9" t="n">
        <f aca="false">N(F222)-N(E222)</f>
        <v>-1154746.34</v>
      </c>
      <c r="H222" s="3" t="n">
        <f aca="false">MONTH(B222)</f>
        <v>5</v>
      </c>
      <c r="I222" s="3" t="s">
        <v>1904</v>
      </c>
      <c r="J222" s="3" t="s">
        <v>1883</v>
      </c>
      <c r="K222" s="3" t="s">
        <v>1884</v>
      </c>
      <c r="L222" s="3" t="s">
        <v>1885</v>
      </c>
      <c r="M222" s="3" t="s">
        <v>1425</v>
      </c>
      <c r="N222" s="11" t="s">
        <v>1905</v>
      </c>
    </row>
    <row r="223" customFormat="false" ht="15" hidden="false" customHeight="false" outlineLevel="0" collapsed="false">
      <c r="A223" s="3" t="n">
        <v>219</v>
      </c>
      <c r="B223" s="8" t="n">
        <v>45799</v>
      </c>
      <c r="C223" s="3" t="s">
        <v>471</v>
      </c>
      <c r="D223" s="3" t="s">
        <v>472</v>
      </c>
      <c r="E223" s="9" t="n">
        <v>112687.76</v>
      </c>
      <c r="F223" s="9"/>
      <c r="G223" s="9" t="n">
        <f aca="false">N(F223)-N(E223)</f>
        <v>-112687.76</v>
      </c>
      <c r="H223" s="3" t="n">
        <f aca="false">MONTH(B223)</f>
        <v>5</v>
      </c>
      <c r="I223" s="3" t="s">
        <v>1906</v>
      </c>
      <c r="J223" s="3" t="s">
        <v>1883</v>
      </c>
      <c r="K223" s="3" t="s">
        <v>1884</v>
      </c>
      <c r="L223" s="3" t="s">
        <v>1885</v>
      </c>
      <c r="M223" s="3" t="s">
        <v>1422</v>
      </c>
      <c r="N223" s="11"/>
    </row>
    <row r="224" customFormat="false" ht="15" hidden="false" customHeight="false" outlineLevel="0" collapsed="false">
      <c r="A224" s="3" t="n">
        <v>220</v>
      </c>
      <c r="B224" s="8" t="n">
        <v>45800</v>
      </c>
      <c r="C224" s="3" t="s">
        <v>473</v>
      </c>
      <c r="D224" s="3" t="s">
        <v>474</v>
      </c>
      <c r="E224" s="9"/>
      <c r="F224" s="9" t="n">
        <v>852557.8</v>
      </c>
      <c r="G224" s="9" t="n">
        <f aca="false">N(F224)-N(E224)</f>
        <v>852557.8</v>
      </c>
      <c r="H224" s="3" t="n">
        <f aca="false">MONTH(B224)</f>
        <v>5</v>
      </c>
      <c r="I224" s="3" t="s">
        <v>1891</v>
      </c>
      <c r="J224" s="3" t="s">
        <v>1883</v>
      </c>
      <c r="K224" s="3" t="s">
        <v>1884</v>
      </c>
      <c r="L224" s="3" t="s">
        <v>1885</v>
      </c>
      <c r="M224" s="3" t="s">
        <v>1428</v>
      </c>
      <c r="N224" s="11" t="s">
        <v>1892</v>
      </c>
    </row>
    <row r="225" customFormat="false" ht="15" hidden="false" customHeight="false" outlineLevel="0" collapsed="false">
      <c r="A225" s="3" t="n">
        <v>221</v>
      </c>
      <c r="B225" s="8" t="n">
        <v>45800</v>
      </c>
      <c r="C225" s="3" t="s">
        <v>475</v>
      </c>
      <c r="D225" s="3" t="s">
        <v>476</v>
      </c>
      <c r="E225" s="9" t="n">
        <v>304822.43</v>
      </c>
      <c r="F225" s="9"/>
      <c r="G225" s="9" t="n">
        <f aca="false">N(F225)-N(E225)</f>
        <v>-304822.43</v>
      </c>
      <c r="H225" s="3" t="n">
        <f aca="false">MONTH(B225)</f>
        <v>5</v>
      </c>
      <c r="I225" s="3" t="s">
        <v>1893</v>
      </c>
      <c r="J225" s="3" t="s">
        <v>1883</v>
      </c>
      <c r="K225" s="3" t="s">
        <v>1884</v>
      </c>
      <c r="L225" s="3" t="s">
        <v>1885</v>
      </c>
      <c r="M225" s="3" t="s">
        <v>1423</v>
      </c>
      <c r="N225" s="11" t="s">
        <v>1894</v>
      </c>
    </row>
    <row r="226" customFormat="false" ht="15" hidden="false" customHeight="false" outlineLevel="0" collapsed="false">
      <c r="A226" s="3" t="n">
        <v>222</v>
      </c>
      <c r="B226" s="8" t="n">
        <v>45803</v>
      </c>
      <c r="C226" s="3" t="s">
        <v>477</v>
      </c>
      <c r="D226" s="3" t="s">
        <v>478</v>
      </c>
      <c r="E226" s="9"/>
      <c r="F226" s="9" t="n">
        <v>3626400</v>
      </c>
      <c r="G226" s="9" t="n">
        <f aca="false">N(F226)-N(E226)</f>
        <v>3626400</v>
      </c>
      <c r="H226" s="3" t="n">
        <f aca="false">MONTH(B226)</f>
        <v>5</v>
      </c>
      <c r="I226" s="3" t="s">
        <v>1882</v>
      </c>
      <c r="J226" s="3" t="s">
        <v>1883</v>
      </c>
      <c r="K226" s="3" t="s">
        <v>1884</v>
      </c>
      <c r="L226" s="3" t="s">
        <v>1885</v>
      </c>
      <c r="M226" s="3" t="s">
        <v>1430</v>
      </c>
      <c r="N226" s="11"/>
    </row>
    <row r="227" customFormat="false" ht="15" hidden="false" customHeight="false" outlineLevel="0" collapsed="false">
      <c r="A227" s="3" t="n">
        <v>223</v>
      </c>
      <c r="B227" s="8" t="n">
        <v>45803</v>
      </c>
      <c r="C227" s="3" t="s">
        <v>479</v>
      </c>
      <c r="D227" s="3" t="s">
        <v>480</v>
      </c>
      <c r="E227" s="9" t="n">
        <v>2247200</v>
      </c>
      <c r="F227" s="9"/>
      <c r="G227" s="9" t="n">
        <f aca="false">N(F227)-N(E227)</f>
        <v>-2247200</v>
      </c>
      <c r="H227" s="3" t="n">
        <f aca="false">MONTH(B227)</f>
        <v>5</v>
      </c>
      <c r="I227" s="3" t="s">
        <v>1899</v>
      </c>
      <c r="J227" s="3" t="s">
        <v>1883</v>
      </c>
      <c r="K227" s="3" t="s">
        <v>1884</v>
      </c>
      <c r="L227" s="3" t="s">
        <v>1885</v>
      </c>
      <c r="M227" s="3" t="s">
        <v>1429</v>
      </c>
      <c r="N227" s="11"/>
    </row>
    <row r="228" customFormat="false" ht="15" hidden="false" customHeight="false" outlineLevel="0" collapsed="false">
      <c r="A228" s="3" t="n">
        <v>224</v>
      </c>
      <c r="B228" s="8" t="n">
        <v>45803</v>
      </c>
      <c r="C228" s="3" t="s">
        <v>481</v>
      </c>
      <c r="D228" s="3" t="s">
        <v>482</v>
      </c>
      <c r="E228" s="9" t="n">
        <v>235700</v>
      </c>
      <c r="F228" s="9"/>
      <c r="G228" s="9" t="n">
        <f aca="false">N(F228)-N(E228)</f>
        <v>-235700</v>
      </c>
      <c r="H228" s="3" t="n">
        <f aca="false">MONTH(B228)</f>
        <v>5</v>
      </c>
      <c r="I228" s="3" t="s">
        <v>1888</v>
      </c>
      <c r="J228" s="3" t="s">
        <v>1883</v>
      </c>
      <c r="K228" s="3" t="s">
        <v>1884</v>
      </c>
      <c r="L228" s="3" t="s">
        <v>1885</v>
      </c>
      <c r="M228" s="3" t="s">
        <v>1427</v>
      </c>
      <c r="N228" s="11"/>
    </row>
    <row r="229" customFormat="false" ht="15" hidden="false" customHeight="false" outlineLevel="0" collapsed="false">
      <c r="A229" s="12" t="n">
        <v>225</v>
      </c>
      <c r="B229" s="13" t="n">
        <v>45804</v>
      </c>
      <c r="C229" s="12" t="s">
        <v>483</v>
      </c>
      <c r="D229" s="12" t="s">
        <v>156</v>
      </c>
      <c r="E229" s="14"/>
      <c r="F229" s="14" t="n">
        <v>2507800</v>
      </c>
      <c r="G229" s="14" t="n">
        <f aca="false">N(F229)-N(E229)</f>
        <v>2507800</v>
      </c>
      <c r="H229" s="12" t="n">
        <f aca="false">MONTH(B229)</f>
        <v>5</v>
      </c>
      <c r="I229" s="12" t="s">
        <v>1882</v>
      </c>
      <c r="J229" s="12" t="s">
        <v>1883</v>
      </c>
      <c r="K229" s="12" t="s">
        <v>1896</v>
      </c>
      <c r="L229" s="12" t="s">
        <v>1885</v>
      </c>
      <c r="M229" s="12" t="s">
        <v>1432</v>
      </c>
      <c r="N229" s="15" t="s">
        <v>1907</v>
      </c>
    </row>
    <row r="230" customFormat="false" ht="15" hidden="false" customHeight="false" outlineLevel="0" collapsed="false">
      <c r="A230" s="3" t="n">
        <v>226</v>
      </c>
      <c r="B230" s="8" t="n">
        <v>45804</v>
      </c>
      <c r="C230" s="3" t="s">
        <v>484</v>
      </c>
      <c r="D230" s="3" t="s">
        <v>485</v>
      </c>
      <c r="E230" s="9"/>
      <c r="F230" s="9" t="n">
        <v>1289457.86</v>
      </c>
      <c r="G230" s="9" t="n">
        <f aca="false">N(F230)-N(E230)</f>
        <v>1289457.86</v>
      </c>
      <c r="H230" s="3" t="n">
        <f aca="false">MONTH(B230)</f>
        <v>5</v>
      </c>
      <c r="I230" s="3" t="s">
        <v>1886</v>
      </c>
      <c r="J230" s="3" t="s">
        <v>1883</v>
      </c>
      <c r="K230" s="3" t="s">
        <v>1884</v>
      </c>
      <c r="L230" s="3" t="s">
        <v>1885</v>
      </c>
      <c r="M230" s="3" t="s">
        <v>1433</v>
      </c>
      <c r="N230" s="11" t="s">
        <v>1887</v>
      </c>
    </row>
    <row r="231" customFormat="false" ht="15" hidden="false" customHeight="false" outlineLevel="0" collapsed="false">
      <c r="A231" s="3" t="n">
        <v>227</v>
      </c>
      <c r="B231" s="8" t="n">
        <v>45804</v>
      </c>
      <c r="C231" s="3" t="s">
        <v>486</v>
      </c>
      <c r="D231" s="3" t="s">
        <v>487</v>
      </c>
      <c r="E231" s="9" t="n">
        <v>3781200</v>
      </c>
      <c r="F231" s="9"/>
      <c r="G231" s="9" t="n">
        <f aca="false">N(F231)-N(E231)</f>
        <v>-3781200</v>
      </c>
      <c r="H231" s="3" t="n">
        <f aca="false">MONTH(B231)</f>
        <v>5</v>
      </c>
      <c r="I231" s="3" t="s">
        <v>1910</v>
      </c>
      <c r="J231" s="3" t="s">
        <v>1883</v>
      </c>
      <c r="K231" s="3" t="s">
        <v>1884</v>
      </c>
      <c r="L231" s="3" t="s">
        <v>1885</v>
      </c>
      <c r="M231" s="3" t="s">
        <v>1434</v>
      </c>
      <c r="N231" s="11"/>
    </row>
    <row r="232" customFormat="false" ht="15" hidden="false" customHeight="false" outlineLevel="0" collapsed="false">
      <c r="A232" s="12" t="n">
        <v>228</v>
      </c>
      <c r="B232" s="13" t="n">
        <v>45805</v>
      </c>
      <c r="C232" s="12" t="s">
        <v>488</v>
      </c>
      <c r="D232" s="12" t="s">
        <v>192</v>
      </c>
      <c r="E232" s="14"/>
      <c r="F232" s="14" t="n">
        <v>1207053.23</v>
      </c>
      <c r="G232" s="14" t="n">
        <f aca="false">N(F232)-N(E232)</f>
        <v>1207053.23</v>
      </c>
      <c r="H232" s="12" t="n">
        <f aca="false">MONTH(B232)</f>
        <v>5</v>
      </c>
      <c r="I232" s="12" t="s">
        <v>1895</v>
      </c>
      <c r="J232" s="12" t="s">
        <v>1883</v>
      </c>
      <c r="K232" s="12" t="s">
        <v>1896</v>
      </c>
      <c r="L232" s="12" t="s">
        <v>1885</v>
      </c>
      <c r="M232" s="12" t="s">
        <v>1436</v>
      </c>
      <c r="N232" s="15" t="s">
        <v>1897</v>
      </c>
    </row>
    <row r="233" customFormat="false" ht="15" hidden="false" customHeight="false" outlineLevel="0" collapsed="false">
      <c r="A233" s="3" t="n">
        <v>229</v>
      </c>
      <c r="B233" s="8" t="n">
        <v>45807</v>
      </c>
      <c r="C233" s="3" t="s">
        <v>489</v>
      </c>
      <c r="D233" s="3" t="s">
        <v>490</v>
      </c>
      <c r="E233" s="9" t="n">
        <v>4500</v>
      </c>
      <c r="F233" s="9"/>
      <c r="G233" s="9" t="n">
        <f aca="false">N(F233)-N(E233)</f>
        <v>-4500</v>
      </c>
      <c r="H233" s="3" t="n">
        <f aca="false">MONTH(B233)</f>
        <v>5</v>
      </c>
      <c r="I233" s="3" t="s">
        <v>1911</v>
      </c>
      <c r="J233" s="3" t="s">
        <v>1883</v>
      </c>
      <c r="K233" s="3" t="s">
        <v>1884</v>
      </c>
      <c r="L233" s="3" t="s">
        <v>1912</v>
      </c>
      <c r="M233" s="3" t="s">
        <v>1440</v>
      </c>
      <c r="N233" s="11" t="s">
        <v>1913</v>
      </c>
    </row>
    <row r="234" customFormat="false" ht="15" hidden="false" customHeight="false" outlineLevel="0" collapsed="false">
      <c r="A234" s="3" t="n">
        <v>230</v>
      </c>
      <c r="B234" s="8" t="n">
        <v>45807</v>
      </c>
      <c r="C234" s="3" t="s">
        <v>491</v>
      </c>
      <c r="D234" s="3" t="s">
        <v>136</v>
      </c>
      <c r="E234" s="9" t="n">
        <v>4053.2</v>
      </c>
      <c r="F234" s="9"/>
      <c r="G234" s="9" t="n">
        <f aca="false">N(F234)-N(E234)</f>
        <v>-4053.2</v>
      </c>
      <c r="H234" s="3" t="n">
        <f aca="false">MONTH(B234)</f>
        <v>5</v>
      </c>
      <c r="I234" s="3" t="s">
        <v>1911</v>
      </c>
      <c r="J234" s="3" t="s">
        <v>1883</v>
      </c>
      <c r="K234" s="3" t="s">
        <v>1884</v>
      </c>
      <c r="L234" s="3" t="s">
        <v>1912</v>
      </c>
      <c r="M234" s="3" t="s">
        <v>1440</v>
      </c>
      <c r="N234" s="11" t="s">
        <v>1913</v>
      </c>
    </row>
    <row r="235" customFormat="false" ht="15" hidden="false" customHeight="false" outlineLevel="0" collapsed="false">
      <c r="A235" s="3" t="n">
        <v>231</v>
      </c>
      <c r="B235" s="8" t="n">
        <v>45807</v>
      </c>
      <c r="C235" s="3" t="s">
        <v>492</v>
      </c>
      <c r="D235" s="3" t="s">
        <v>224</v>
      </c>
      <c r="E235" s="9" t="n">
        <v>300</v>
      </c>
      <c r="F235" s="9"/>
      <c r="G235" s="9" t="n">
        <f aca="false">N(F235)-N(E235)</f>
        <v>-300</v>
      </c>
      <c r="H235" s="3" t="n">
        <f aca="false">MONTH(B235)</f>
        <v>5</v>
      </c>
      <c r="I235" s="3" t="s">
        <v>1911</v>
      </c>
      <c r="J235" s="3" t="s">
        <v>1883</v>
      </c>
      <c r="K235" s="3" t="s">
        <v>1884</v>
      </c>
      <c r="L235" s="3" t="s">
        <v>1912</v>
      </c>
      <c r="M235" s="3" t="s">
        <v>1440</v>
      </c>
      <c r="N235" s="11" t="s">
        <v>1913</v>
      </c>
    </row>
    <row r="236" customFormat="false" ht="15" hidden="false" customHeight="false" outlineLevel="0" collapsed="false">
      <c r="A236" s="3" t="n">
        <v>232</v>
      </c>
      <c r="B236" s="8" t="n">
        <v>45807</v>
      </c>
      <c r="C236" s="3" t="s">
        <v>493</v>
      </c>
      <c r="D236" s="3" t="s">
        <v>140</v>
      </c>
      <c r="E236" s="9" t="n">
        <v>663.99</v>
      </c>
      <c r="F236" s="9"/>
      <c r="G236" s="9" t="n">
        <f aca="false">N(F236)-N(E236)</f>
        <v>-663.99</v>
      </c>
      <c r="H236" s="3" t="n">
        <f aca="false">MONTH(B236)</f>
        <v>5</v>
      </c>
      <c r="I236" s="3" t="s">
        <v>1911</v>
      </c>
      <c r="J236" s="3" t="s">
        <v>1883</v>
      </c>
      <c r="K236" s="3" t="s">
        <v>1884</v>
      </c>
      <c r="L236" s="3" t="s">
        <v>1912</v>
      </c>
      <c r="M236" s="3" t="s">
        <v>1440</v>
      </c>
      <c r="N236" s="11" t="s">
        <v>1913</v>
      </c>
    </row>
    <row r="237" customFormat="false" ht="15" hidden="false" customHeight="false" outlineLevel="0" collapsed="false">
      <c r="A237" s="3" t="n">
        <v>233</v>
      </c>
      <c r="B237" s="8" t="n">
        <v>45807</v>
      </c>
      <c r="C237" s="3" t="s">
        <v>494</v>
      </c>
      <c r="D237" s="3" t="s">
        <v>227</v>
      </c>
      <c r="E237" s="9" t="n">
        <v>900</v>
      </c>
      <c r="F237" s="9"/>
      <c r="G237" s="9" t="n">
        <f aca="false">N(F237)-N(E237)</f>
        <v>-900</v>
      </c>
      <c r="H237" s="3" t="n">
        <f aca="false">MONTH(B237)</f>
        <v>5</v>
      </c>
      <c r="I237" s="3" t="s">
        <v>1914</v>
      </c>
      <c r="J237" s="3" t="s">
        <v>1883</v>
      </c>
      <c r="K237" s="3" t="s">
        <v>1884</v>
      </c>
      <c r="L237" s="3" t="s">
        <v>1912</v>
      </c>
      <c r="M237" s="3" t="s">
        <v>1440</v>
      </c>
      <c r="N237" s="11" t="s">
        <v>1913</v>
      </c>
    </row>
    <row r="238" customFormat="false" ht="15" hidden="false" customHeight="false" outlineLevel="0" collapsed="false">
      <c r="A238" s="3" t="n">
        <v>234</v>
      </c>
      <c r="B238" s="8" t="n">
        <v>45810</v>
      </c>
      <c r="C238" s="3" t="s">
        <v>495</v>
      </c>
      <c r="D238" s="3" t="s">
        <v>496</v>
      </c>
      <c r="E238" s="9" t="n">
        <v>2851100</v>
      </c>
      <c r="F238" s="9"/>
      <c r="G238" s="9" t="n">
        <f aca="false">N(F238)-N(E238)</f>
        <v>-2851100</v>
      </c>
      <c r="H238" s="3" t="n">
        <f aca="false">MONTH(B238)</f>
        <v>6</v>
      </c>
      <c r="I238" s="3" t="s">
        <v>1899</v>
      </c>
      <c r="J238" s="3" t="s">
        <v>1883</v>
      </c>
      <c r="K238" s="3" t="s">
        <v>1884</v>
      </c>
      <c r="L238" s="3" t="s">
        <v>1915</v>
      </c>
      <c r="M238" s="3" t="s">
        <v>1437</v>
      </c>
      <c r="N238" s="11"/>
    </row>
    <row r="239" customFormat="false" ht="15" hidden="false" customHeight="false" outlineLevel="0" collapsed="false">
      <c r="A239" s="3" t="n">
        <v>235</v>
      </c>
      <c r="B239" s="8" t="n">
        <v>45810</v>
      </c>
      <c r="C239" s="3" t="s">
        <v>497</v>
      </c>
      <c r="D239" s="3" t="s">
        <v>498</v>
      </c>
      <c r="E239" s="9" t="n">
        <v>360100</v>
      </c>
      <c r="F239" s="9"/>
      <c r="G239" s="9" t="n">
        <f aca="false">N(F239)-N(E239)</f>
        <v>-360100</v>
      </c>
      <c r="H239" s="3" t="n">
        <f aca="false">MONTH(B239)</f>
        <v>6</v>
      </c>
      <c r="I239" s="3" t="s">
        <v>1888</v>
      </c>
      <c r="J239" s="3" t="s">
        <v>1883</v>
      </c>
      <c r="K239" s="3" t="s">
        <v>1884</v>
      </c>
      <c r="L239" s="3" t="s">
        <v>1885</v>
      </c>
      <c r="M239" s="3" t="s">
        <v>1442</v>
      </c>
      <c r="N239" s="11"/>
    </row>
    <row r="240" customFormat="false" ht="15" hidden="false" customHeight="false" outlineLevel="0" collapsed="false">
      <c r="A240" s="3" t="n">
        <v>236</v>
      </c>
      <c r="B240" s="8" t="n">
        <v>45811</v>
      </c>
      <c r="C240" s="3" t="s">
        <v>499</v>
      </c>
      <c r="D240" s="3" t="s">
        <v>500</v>
      </c>
      <c r="E240" s="9" t="n">
        <v>950800</v>
      </c>
      <c r="F240" s="9"/>
      <c r="G240" s="9" t="n">
        <f aca="false">N(F240)-N(E240)</f>
        <v>-950800</v>
      </c>
      <c r="H240" s="3" t="n">
        <f aca="false">MONTH(B240)</f>
        <v>6</v>
      </c>
      <c r="I240" s="3" t="s">
        <v>1899</v>
      </c>
      <c r="J240" s="3" t="s">
        <v>1883</v>
      </c>
      <c r="K240" s="3" t="s">
        <v>1884</v>
      </c>
      <c r="L240" s="3" t="s">
        <v>1915</v>
      </c>
      <c r="M240" s="3" t="s">
        <v>1439</v>
      </c>
      <c r="N240" s="11"/>
    </row>
    <row r="241" customFormat="false" ht="15" hidden="false" customHeight="false" outlineLevel="0" collapsed="false">
      <c r="A241" s="3" t="n">
        <v>237</v>
      </c>
      <c r="B241" s="8" t="n">
        <v>45812</v>
      </c>
      <c r="C241" s="3" t="s">
        <v>501</v>
      </c>
      <c r="D241" s="3" t="s">
        <v>502</v>
      </c>
      <c r="E241" s="9"/>
      <c r="F241" s="9" t="n">
        <v>2607500</v>
      </c>
      <c r="G241" s="9" t="n">
        <f aca="false">N(F241)-N(E241)</f>
        <v>2607500</v>
      </c>
      <c r="H241" s="3" t="n">
        <f aca="false">MONTH(B241)</f>
        <v>6</v>
      </c>
      <c r="I241" s="3" t="s">
        <v>1882</v>
      </c>
      <c r="J241" s="3" t="s">
        <v>1883</v>
      </c>
      <c r="K241" s="3" t="s">
        <v>1884</v>
      </c>
      <c r="L241" s="3" t="s">
        <v>1885</v>
      </c>
      <c r="M241" s="3" t="s">
        <v>1444</v>
      </c>
      <c r="N241" s="11"/>
    </row>
    <row r="242" customFormat="false" ht="15" hidden="false" customHeight="false" outlineLevel="0" collapsed="false">
      <c r="A242" s="3" t="n">
        <v>238</v>
      </c>
      <c r="B242" s="8" t="n">
        <v>45812</v>
      </c>
      <c r="C242" s="3" t="s">
        <v>503</v>
      </c>
      <c r="D242" s="3" t="s">
        <v>504</v>
      </c>
      <c r="E242" s="9" t="n">
        <v>294768.82</v>
      </c>
      <c r="F242" s="9"/>
      <c r="G242" s="9" t="n">
        <f aca="false">N(F242)-N(E242)</f>
        <v>-294768.82</v>
      </c>
      <c r="H242" s="3" t="n">
        <f aca="false">MONTH(B242)</f>
        <v>6</v>
      </c>
      <c r="I242" s="3" t="s">
        <v>1893</v>
      </c>
      <c r="J242" s="3" t="s">
        <v>1883</v>
      </c>
      <c r="K242" s="3" t="s">
        <v>1884</v>
      </c>
      <c r="L242" s="3" t="s">
        <v>1885</v>
      </c>
      <c r="M242" s="3" t="s">
        <v>1443</v>
      </c>
      <c r="N242" s="11" t="s">
        <v>1894</v>
      </c>
    </row>
    <row r="243" customFormat="false" ht="15" hidden="false" customHeight="false" outlineLevel="0" collapsed="false">
      <c r="A243" s="3" t="n">
        <v>239</v>
      </c>
      <c r="B243" s="8" t="n">
        <v>45813</v>
      </c>
      <c r="C243" s="3" t="s">
        <v>505</v>
      </c>
      <c r="D243" s="3" t="s">
        <v>506</v>
      </c>
      <c r="E243" s="9" t="n">
        <v>85000</v>
      </c>
      <c r="F243" s="9"/>
      <c r="G243" s="9" t="n">
        <f aca="false">N(F243)-N(E243)</f>
        <v>-85000</v>
      </c>
      <c r="H243" s="3" t="n">
        <f aca="false">MONTH(B243)</f>
        <v>6</v>
      </c>
      <c r="I243" s="3" t="s">
        <v>1888</v>
      </c>
      <c r="J243" s="3" t="s">
        <v>1883</v>
      </c>
      <c r="K243" s="3" t="s">
        <v>1884</v>
      </c>
      <c r="L243" s="3" t="s">
        <v>1885</v>
      </c>
      <c r="M243" s="3" t="s">
        <v>1448</v>
      </c>
      <c r="N243" s="11"/>
    </row>
    <row r="244" customFormat="false" ht="15" hidden="false" customHeight="false" outlineLevel="0" collapsed="false">
      <c r="A244" s="3" t="n">
        <v>240</v>
      </c>
      <c r="B244" s="8" t="n">
        <v>45813</v>
      </c>
      <c r="C244" s="3" t="s">
        <v>507</v>
      </c>
      <c r="D244" s="3" t="s">
        <v>508</v>
      </c>
      <c r="E244" s="9" t="n">
        <v>8000000</v>
      </c>
      <c r="F244" s="9"/>
      <c r="G244" s="9" t="n">
        <f aca="false">N(F244)-N(E244)</f>
        <v>-8000000</v>
      </c>
      <c r="H244" s="3" t="n">
        <f aca="false">MONTH(B244)</f>
        <v>6</v>
      </c>
      <c r="I244" s="3" t="s">
        <v>1916</v>
      </c>
      <c r="J244" s="3" t="s">
        <v>1917</v>
      </c>
      <c r="K244" s="3" t="s">
        <v>1884</v>
      </c>
      <c r="L244" s="3" t="s">
        <v>1885</v>
      </c>
      <c r="M244" s="3" t="s">
        <v>1449</v>
      </c>
      <c r="N244" s="11" t="s">
        <v>1949</v>
      </c>
    </row>
    <row r="245" customFormat="false" ht="15" hidden="false" customHeight="false" outlineLevel="0" collapsed="false">
      <c r="A245" s="3" t="n">
        <v>241</v>
      </c>
      <c r="B245" s="8" t="n">
        <v>45814</v>
      </c>
      <c r="C245" s="3" t="s">
        <v>509</v>
      </c>
      <c r="D245" s="3" t="s">
        <v>510</v>
      </c>
      <c r="E245" s="9"/>
      <c r="F245" s="9" t="n">
        <v>681425.3</v>
      </c>
      <c r="G245" s="9" t="n">
        <f aca="false">N(F245)-N(E245)</f>
        <v>681425.3</v>
      </c>
      <c r="H245" s="3" t="n">
        <f aca="false">MONTH(B245)</f>
        <v>6</v>
      </c>
      <c r="I245" s="3" t="s">
        <v>1886</v>
      </c>
      <c r="J245" s="3" t="s">
        <v>1883</v>
      </c>
      <c r="K245" s="3" t="s">
        <v>1884</v>
      </c>
      <c r="L245" s="3" t="s">
        <v>1885</v>
      </c>
      <c r="M245" s="3" t="s">
        <v>1446</v>
      </c>
      <c r="N245" s="11" t="s">
        <v>1887</v>
      </c>
    </row>
    <row r="246" customFormat="false" ht="15" hidden="false" customHeight="false" outlineLevel="0" collapsed="false">
      <c r="A246" s="3" t="n">
        <v>242</v>
      </c>
      <c r="B246" s="8" t="n">
        <v>45814</v>
      </c>
      <c r="C246" s="3" t="s">
        <v>511</v>
      </c>
      <c r="D246" s="3" t="s">
        <v>512</v>
      </c>
      <c r="E246" s="9" t="n">
        <v>140309.54</v>
      </c>
      <c r="F246" s="9"/>
      <c r="G246" s="9" t="n">
        <f aca="false">N(F246)-N(E246)</f>
        <v>-140309.54</v>
      </c>
      <c r="H246" s="3" t="n">
        <f aca="false">MONTH(B246)</f>
        <v>6</v>
      </c>
      <c r="I246" s="3" t="s">
        <v>1893</v>
      </c>
      <c r="J246" s="3" t="s">
        <v>1883</v>
      </c>
      <c r="K246" s="3" t="s">
        <v>1884</v>
      </c>
      <c r="L246" s="3" t="s">
        <v>1885</v>
      </c>
      <c r="M246" s="3" t="s">
        <v>1447</v>
      </c>
      <c r="N246" s="11" t="s">
        <v>1894</v>
      </c>
    </row>
    <row r="247" customFormat="false" ht="15" hidden="false" customHeight="false" outlineLevel="0" collapsed="false">
      <c r="A247" s="3" t="n">
        <v>243</v>
      </c>
      <c r="B247" s="8" t="n">
        <v>45817</v>
      </c>
      <c r="C247" s="3" t="s">
        <v>513</v>
      </c>
      <c r="D247" s="3" t="s">
        <v>514</v>
      </c>
      <c r="E247" s="9"/>
      <c r="F247" s="9" t="n">
        <v>3461400</v>
      </c>
      <c r="G247" s="9" t="n">
        <f aca="false">N(F247)-N(E247)</f>
        <v>3461400</v>
      </c>
      <c r="H247" s="3" t="n">
        <f aca="false">MONTH(B247)</f>
        <v>6</v>
      </c>
      <c r="I247" s="3" t="s">
        <v>1882</v>
      </c>
      <c r="J247" s="3" t="s">
        <v>1883</v>
      </c>
      <c r="K247" s="3" t="s">
        <v>1884</v>
      </c>
      <c r="L247" s="3" t="s">
        <v>1885</v>
      </c>
      <c r="M247" s="3" t="s">
        <v>1458</v>
      </c>
      <c r="N247" s="11"/>
    </row>
    <row r="248" customFormat="false" ht="15" hidden="false" customHeight="false" outlineLevel="0" collapsed="false">
      <c r="A248" s="3" t="n">
        <v>244</v>
      </c>
      <c r="B248" s="8" t="n">
        <v>45817</v>
      </c>
      <c r="C248" s="3" t="s">
        <v>515</v>
      </c>
      <c r="D248" s="3" t="s">
        <v>516</v>
      </c>
      <c r="E248" s="9"/>
      <c r="F248" s="9" t="n">
        <v>4717400</v>
      </c>
      <c r="G248" s="9" t="n">
        <f aca="false">N(F248)-N(E248)</f>
        <v>4717400</v>
      </c>
      <c r="H248" s="3" t="n">
        <f aca="false">MONTH(B248)</f>
        <v>6</v>
      </c>
      <c r="I248" s="3" t="s">
        <v>1882</v>
      </c>
      <c r="J248" s="3" t="s">
        <v>1883</v>
      </c>
      <c r="K248" s="3" t="s">
        <v>1884</v>
      </c>
      <c r="L248" s="3" t="s">
        <v>1885</v>
      </c>
      <c r="M248" s="3" t="s">
        <v>1453</v>
      </c>
      <c r="N248" s="11"/>
    </row>
    <row r="249" customFormat="false" ht="15" hidden="false" customHeight="false" outlineLevel="0" collapsed="false">
      <c r="A249" s="3" t="n">
        <v>245</v>
      </c>
      <c r="B249" s="8" t="n">
        <v>45817</v>
      </c>
      <c r="C249" s="3" t="s">
        <v>517</v>
      </c>
      <c r="D249" s="3" t="s">
        <v>518</v>
      </c>
      <c r="E249" s="9"/>
      <c r="F249" s="9" t="n">
        <v>477087.68</v>
      </c>
      <c r="G249" s="9" t="n">
        <f aca="false">N(F249)-N(E249)</f>
        <v>477087.68</v>
      </c>
      <c r="H249" s="3" t="n">
        <f aca="false">MONTH(B249)</f>
        <v>6</v>
      </c>
      <c r="I249" s="3" t="s">
        <v>1891</v>
      </c>
      <c r="J249" s="3" t="s">
        <v>1883</v>
      </c>
      <c r="K249" s="3" t="s">
        <v>1884</v>
      </c>
      <c r="L249" s="3" t="s">
        <v>1885</v>
      </c>
      <c r="M249" s="3" t="s">
        <v>1460</v>
      </c>
      <c r="N249" s="11" t="s">
        <v>1892</v>
      </c>
    </row>
    <row r="250" customFormat="false" ht="15" hidden="false" customHeight="false" outlineLevel="0" collapsed="false">
      <c r="A250" s="12" t="n">
        <v>246</v>
      </c>
      <c r="B250" s="13" t="n">
        <v>45817</v>
      </c>
      <c r="C250" s="12" t="s">
        <v>519</v>
      </c>
      <c r="D250" s="12" t="s">
        <v>309</v>
      </c>
      <c r="E250" s="14" t="n">
        <v>2254100</v>
      </c>
      <c r="F250" s="14"/>
      <c r="G250" s="14" t="n">
        <f aca="false">N(F250)-N(E250)</f>
        <v>-2254100</v>
      </c>
      <c r="H250" s="12" t="n">
        <f aca="false">MONTH(B250)</f>
        <v>6</v>
      </c>
      <c r="I250" s="12" t="s">
        <v>1899</v>
      </c>
      <c r="J250" s="12" t="s">
        <v>1883</v>
      </c>
      <c r="K250" s="12" t="s">
        <v>1896</v>
      </c>
      <c r="L250" s="12" t="s">
        <v>1885</v>
      </c>
      <c r="M250" s="12" t="s">
        <v>1461</v>
      </c>
      <c r="N250" s="15" t="s">
        <v>1937</v>
      </c>
    </row>
    <row r="251" customFormat="false" ht="15" hidden="false" customHeight="false" outlineLevel="0" collapsed="false">
      <c r="A251" s="12" t="n">
        <v>247</v>
      </c>
      <c r="B251" s="13" t="n">
        <v>45817</v>
      </c>
      <c r="C251" s="12" t="s">
        <v>520</v>
      </c>
      <c r="D251" s="12" t="s">
        <v>521</v>
      </c>
      <c r="E251" s="14" t="n">
        <v>2001000</v>
      </c>
      <c r="F251" s="14"/>
      <c r="G251" s="14" t="n">
        <f aca="false">N(F251)-N(E251)</f>
        <v>-2001000</v>
      </c>
      <c r="H251" s="12" t="n">
        <f aca="false">MONTH(B251)</f>
        <v>6</v>
      </c>
      <c r="I251" s="12" t="s">
        <v>1899</v>
      </c>
      <c r="J251" s="12" t="s">
        <v>1883</v>
      </c>
      <c r="K251" s="12" t="s">
        <v>1896</v>
      </c>
      <c r="L251" s="12" t="s">
        <v>1885</v>
      </c>
      <c r="M251" s="12" t="s">
        <v>1462</v>
      </c>
      <c r="N251" s="15" t="s">
        <v>1937</v>
      </c>
    </row>
    <row r="252" customFormat="false" ht="15" hidden="false" customHeight="false" outlineLevel="0" collapsed="false">
      <c r="A252" s="3" t="n">
        <v>248</v>
      </c>
      <c r="B252" s="8" t="n">
        <v>45817</v>
      </c>
      <c r="C252" s="3" t="s">
        <v>522</v>
      </c>
      <c r="D252" s="3" t="s">
        <v>523</v>
      </c>
      <c r="E252" s="9" t="n">
        <v>149561.14</v>
      </c>
      <c r="F252" s="9"/>
      <c r="G252" s="9" t="n">
        <f aca="false">N(F252)-N(E252)</f>
        <v>-149561.14</v>
      </c>
      <c r="H252" s="3" t="n">
        <f aca="false">MONTH(B252)</f>
        <v>6</v>
      </c>
      <c r="I252" s="3" t="s">
        <v>1893</v>
      </c>
      <c r="J252" s="3" t="s">
        <v>1883</v>
      </c>
      <c r="K252" s="3" t="s">
        <v>1884</v>
      </c>
      <c r="L252" s="3" t="s">
        <v>1885</v>
      </c>
      <c r="M252" s="3" t="s">
        <v>1455</v>
      </c>
      <c r="N252" s="11" t="s">
        <v>1894</v>
      </c>
    </row>
    <row r="253" customFormat="false" ht="15" hidden="false" customHeight="false" outlineLevel="0" collapsed="false">
      <c r="A253" s="3" t="n">
        <v>249</v>
      </c>
      <c r="B253" s="8" t="n">
        <v>45818</v>
      </c>
      <c r="C253" s="3" t="s">
        <v>524</v>
      </c>
      <c r="D253" s="3" t="s">
        <v>525</v>
      </c>
      <c r="E253" s="9"/>
      <c r="F253" s="9" t="n">
        <v>4504200</v>
      </c>
      <c r="G253" s="9" t="n">
        <f aca="false">N(F253)-N(E253)</f>
        <v>4504200</v>
      </c>
      <c r="H253" s="3" t="n">
        <f aca="false">MONTH(B253)</f>
        <v>6</v>
      </c>
      <c r="I253" s="3" t="s">
        <v>1882</v>
      </c>
      <c r="J253" s="3" t="s">
        <v>1883</v>
      </c>
      <c r="K253" s="3" t="s">
        <v>1884</v>
      </c>
      <c r="L253" s="3" t="s">
        <v>1885</v>
      </c>
      <c r="M253" s="3" t="s">
        <v>1463</v>
      </c>
      <c r="N253" s="11"/>
    </row>
    <row r="254" customFormat="false" ht="15" hidden="false" customHeight="false" outlineLevel="0" collapsed="false">
      <c r="A254" s="12" t="n">
        <v>250</v>
      </c>
      <c r="B254" s="13" t="n">
        <v>45818</v>
      </c>
      <c r="C254" s="12" t="s">
        <v>526</v>
      </c>
      <c r="D254" s="12" t="s">
        <v>146</v>
      </c>
      <c r="E254" s="14"/>
      <c r="F254" s="14" t="n">
        <v>1759230.32</v>
      </c>
      <c r="G254" s="14" t="n">
        <f aca="false">N(F254)-N(E254)</f>
        <v>1759230.32</v>
      </c>
      <c r="H254" s="12" t="n">
        <f aca="false">MONTH(B254)</f>
        <v>6</v>
      </c>
      <c r="I254" s="12" t="s">
        <v>1895</v>
      </c>
      <c r="J254" s="12" t="s">
        <v>1883</v>
      </c>
      <c r="K254" s="12" t="s">
        <v>1896</v>
      </c>
      <c r="L254" s="12" t="s">
        <v>1885</v>
      </c>
      <c r="M254" s="12" t="s">
        <v>1465</v>
      </c>
      <c r="N254" s="15" t="s">
        <v>1897</v>
      </c>
    </row>
    <row r="255" customFormat="false" ht="15" hidden="false" customHeight="false" outlineLevel="0" collapsed="false">
      <c r="A255" s="3" t="n">
        <v>251</v>
      </c>
      <c r="B255" s="8" t="n">
        <v>45818</v>
      </c>
      <c r="C255" s="3" t="s">
        <v>527</v>
      </c>
      <c r="D255" s="3" t="s">
        <v>528</v>
      </c>
      <c r="E255" s="9" t="n">
        <v>450800</v>
      </c>
      <c r="F255" s="9"/>
      <c r="G255" s="9" t="n">
        <f aca="false">N(F255)-N(E255)</f>
        <v>-450800</v>
      </c>
      <c r="H255" s="3" t="n">
        <f aca="false">MONTH(B255)</f>
        <v>6</v>
      </c>
      <c r="I255" s="3" t="s">
        <v>1898</v>
      </c>
      <c r="J255" s="3" t="s">
        <v>1883</v>
      </c>
      <c r="K255" s="3" t="s">
        <v>1884</v>
      </c>
      <c r="L255" s="3" t="s">
        <v>1885</v>
      </c>
      <c r="M255" s="3" t="s">
        <v>1456</v>
      </c>
      <c r="N255" s="11"/>
    </row>
    <row r="256" customFormat="false" ht="15" hidden="false" customHeight="false" outlineLevel="0" collapsed="false">
      <c r="A256" s="3" t="n">
        <v>252</v>
      </c>
      <c r="B256" s="8" t="n">
        <v>45818</v>
      </c>
      <c r="C256" s="3" t="s">
        <v>529</v>
      </c>
      <c r="D256" s="3" t="s">
        <v>530</v>
      </c>
      <c r="E256" s="9" t="n">
        <v>1057421.95</v>
      </c>
      <c r="F256" s="9"/>
      <c r="G256" s="9" t="n">
        <f aca="false">N(F256)-N(E256)</f>
        <v>-1057421.95</v>
      </c>
      <c r="H256" s="3" t="n">
        <f aca="false">MONTH(B256)</f>
        <v>6</v>
      </c>
      <c r="I256" s="3" t="s">
        <v>1944</v>
      </c>
      <c r="J256" s="3" t="s">
        <v>1920</v>
      </c>
      <c r="K256" s="3" t="s">
        <v>1884</v>
      </c>
      <c r="L256" s="3" t="s">
        <v>1885</v>
      </c>
      <c r="M256" s="3" t="s">
        <v>1451</v>
      </c>
      <c r="N256" s="11" t="s">
        <v>1945</v>
      </c>
    </row>
    <row r="257" customFormat="false" ht="15" hidden="false" customHeight="false" outlineLevel="0" collapsed="false">
      <c r="A257" s="12" t="n">
        <v>253</v>
      </c>
      <c r="B257" s="13" t="n">
        <v>45820</v>
      </c>
      <c r="C257" s="12" t="s">
        <v>531</v>
      </c>
      <c r="D257" s="12" t="s">
        <v>146</v>
      </c>
      <c r="E257" s="14"/>
      <c r="F257" s="14" t="n">
        <v>454940.1</v>
      </c>
      <c r="G257" s="14" t="n">
        <f aca="false">N(F257)-N(E257)</f>
        <v>454940.1</v>
      </c>
      <c r="H257" s="12" t="n">
        <f aca="false">MONTH(B257)</f>
        <v>6</v>
      </c>
      <c r="I257" s="12" t="s">
        <v>1895</v>
      </c>
      <c r="J257" s="12" t="s">
        <v>1883</v>
      </c>
      <c r="K257" s="12" t="s">
        <v>1896</v>
      </c>
      <c r="L257" s="12" t="s">
        <v>1885</v>
      </c>
      <c r="M257" s="12" t="s">
        <v>1466</v>
      </c>
      <c r="N257" s="15" t="s">
        <v>1897</v>
      </c>
    </row>
    <row r="258" customFormat="false" ht="15" hidden="false" customHeight="false" outlineLevel="0" collapsed="false">
      <c r="A258" s="3" t="n">
        <v>254</v>
      </c>
      <c r="B258" s="8" t="n">
        <v>45820</v>
      </c>
      <c r="C258" s="3" t="s">
        <v>532</v>
      </c>
      <c r="D258" s="3" t="s">
        <v>533</v>
      </c>
      <c r="E258" s="9" t="n">
        <v>312600</v>
      </c>
      <c r="F258" s="9"/>
      <c r="G258" s="9" t="n">
        <f aca="false">N(F258)-N(E258)</f>
        <v>-312600</v>
      </c>
      <c r="H258" s="3" t="n">
        <f aca="false">MONTH(B258)</f>
        <v>6</v>
      </c>
      <c r="I258" s="3" t="s">
        <v>1888</v>
      </c>
      <c r="J258" s="3" t="s">
        <v>1883</v>
      </c>
      <c r="K258" s="3" t="s">
        <v>1884</v>
      </c>
      <c r="L258" s="3" t="s">
        <v>1885</v>
      </c>
      <c r="M258" s="3" t="s">
        <v>1467</v>
      </c>
      <c r="N258" s="11"/>
    </row>
    <row r="259" customFormat="false" ht="15" hidden="false" customHeight="false" outlineLevel="0" collapsed="false">
      <c r="A259" s="3" t="n">
        <v>255</v>
      </c>
      <c r="B259" s="8" t="n">
        <v>45820</v>
      </c>
      <c r="C259" s="3" t="s">
        <v>534</v>
      </c>
      <c r="D259" s="3" t="s">
        <v>535</v>
      </c>
      <c r="E259" s="9" t="n">
        <v>189651.72</v>
      </c>
      <c r="F259" s="9"/>
      <c r="G259" s="9" t="n">
        <f aca="false">N(F259)-N(E259)</f>
        <v>-189651.72</v>
      </c>
      <c r="H259" s="3" t="n">
        <f aca="false">MONTH(B259)</f>
        <v>6</v>
      </c>
      <c r="I259" s="3" t="s">
        <v>1901</v>
      </c>
      <c r="J259" s="3" t="s">
        <v>1883</v>
      </c>
      <c r="K259" s="3" t="s">
        <v>1884</v>
      </c>
      <c r="L259" s="3" t="s">
        <v>1885</v>
      </c>
      <c r="M259" s="3" t="s">
        <v>1468</v>
      </c>
      <c r="N259" s="11" t="s">
        <v>1902</v>
      </c>
    </row>
    <row r="260" customFormat="false" ht="15" hidden="false" customHeight="false" outlineLevel="0" collapsed="false">
      <c r="A260" s="3" t="n">
        <v>256</v>
      </c>
      <c r="B260" s="8" t="n">
        <v>45820</v>
      </c>
      <c r="C260" s="3" t="s">
        <v>536</v>
      </c>
      <c r="D260" s="3" t="s">
        <v>537</v>
      </c>
      <c r="E260" s="9" t="n">
        <v>168243.13</v>
      </c>
      <c r="F260" s="9"/>
      <c r="G260" s="9" t="n">
        <f aca="false">N(F260)-N(E260)</f>
        <v>-168243.13</v>
      </c>
      <c r="H260" s="3" t="n">
        <f aca="false">MONTH(B260)</f>
        <v>6</v>
      </c>
      <c r="I260" s="3" t="s">
        <v>1900</v>
      </c>
      <c r="J260" s="3" t="s">
        <v>1883</v>
      </c>
      <c r="K260" s="3" t="s">
        <v>1884</v>
      </c>
      <c r="L260" s="3" t="s">
        <v>1885</v>
      </c>
      <c r="M260" s="3" t="s">
        <v>1469</v>
      </c>
      <c r="N260" s="11"/>
    </row>
    <row r="261" customFormat="false" ht="15" hidden="false" customHeight="false" outlineLevel="0" collapsed="false">
      <c r="A261" s="3" t="n">
        <v>257</v>
      </c>
      <c r="B261" s="8" t="n">
        <v>45820</v>
      </c>
      <c r="C261" s="3" t="s">
        <v>538</v>
      </c>
      <c r="D261" s="3" t="s">
        <v>539</v>
      </c>
      <c r="E261" s="9" t="n">
        <v>3200000</v>
      </c>
      <c r="F261" s="9"/>
      <c r="G261" s="9" t="n">
        <f aca="false">N(F261)-N(E261)</f>
        <v>-3200000</v>
      </c>
      <c r="H261" s="3" t="n">
        <f aca="false">MONTH(B261)</f>
        <v>6</v>
      </c>
      <c r="I261" s="3" t="s">
        <v>1950</v>
      </c>
      <c r="J261" s="3" t="s">
        <v>1883</v>
      </c>
      <c r="K261" s="3" t="s">
        <v>1884</v>
      </c>
      <c r="L261" s="3" t="s">
        <v>1885</v>
      </c>
      <c r="M261" s="3" t="s">
        <v>1470</v>
      </c>
      <c r="N261" s="11" t="s">
        <v>1951</v>
      </c>
    </row>
    <row r="262" customFormat="false" ht="15" hidden="false" customHeight="false" outlineLevel="0" collapsed="false">
      <c r="A262" s="3" t="n">
        <v>258</v>
      </c>
      <c r="B262" s="8" t="n">
        <v>45821</v>
      </c>
      <c r="C262" s="3" t="s">
        <v>540</v>
      </c>
      <c r="D262" s="3" t="s">
        <v>541</v>
      </c>
      <c r="E262" s="9"/>
      <c r="F262" s="9" t="n">
        <v>1844650.27</v>
      </c>
      <c r="G262" s="9" t="n">
        <f aca="false">N(F262)-N(E262)</f>
        <v>1844650.27</v>
      </c>
      <c r="H262" s="3" t="n">
        <f aca="false">MONTH(B262)</f>
        <v>6</v>
      </c>
      <c r="I262" s="3" t="s">
        <v>1886</v>
      </c>
      <c r="J262" s="3" t="s">
        <v>1883</v>
      </c>
      <c r="K262" s="3" t="s">
        <v>1884</v>
      </c>
      <c r="L262" s="3" t="s">
        <v>1885</v>
      </c>
      <c r="M262" s="3" t="s">
        <v>1472</v>
      </c>
      <c r="N262" s="11" t="s">
        <v>1887</v>
      </c>
    </row>
    <row r="263" customFormat="false" ht="15" hidden="false" customHeight="false" outlineLevel="0" collapsed="false">
      <c r="A263" s="3" t="n">
        <v>259</v>
      </c>
      <c r="B263" s="8" t="n">
        <v>45824</v>
      </c>
      <c r="C263" s="3" t="s">
        <v>542</v>
      </c>
      <c r="D263" s="3" t="s">
        <v>543</v>
      </c>
      <c r="E263" s="9"/>
      <c r="F263" s="9" t="n">
        <v>1585200</v>
      </c>
      <c r="G263" s="9" t="n">
        <f aca="false">N(F263)-N(E263)</f>
        <v>1585200</v>
      </c>
      <c r="H263" s="3" t="n">
        <f aca="false">MONTH(B263)</f>
        <v>6</v>
      </c>
      <c r="I263" s="3" t="s">
        <v>1882</v>
      </c>
      <c r="J263" s="3" t="s">
        <v>1883</v>
      </c>
      <c r="K263" s="3" t="s">
        <v>1884</v>
      </c>
      <c r="L263" s="3" t="s">
        <v>1885</v>
      </c>
      <c r="M263" s="3" t="s">
        <v>1473</v>
      </c>
      <c r="N263" s="11"/>
    </row>
    <row r="264" customFormat="false" ht="15" hidden="false" customHeight="false" outlineLevel="0" collapsed="false">
      <c r="A264" s="3" t="n">
        <v>260</v>
      </c>
      <c r="B264" s="8" t="n">
        <v>45824</v>
      </c>
      <c r="C264" s="3" t="s">
        <v>544</v>
      </c>
      <c r="D264" s="3" t="s">
        <v>545</v>
      </c>
      <c r="E264" s="9" t="n">
        <v>828000</v>
      </c>
      <c r="F264" s="9"/>
      <c r="G264" s="9" t="n">
        <f aca="false">N(F264)-N(E264)</f>
        <v>-828000</v>
      </c>
      <c r="H264" s="3" t="n">
        <f aca="false">MONTH(B264)</f>
        <v>6</v>
      </c>
      <c r="I264" s="3" t="s">
        <v>1903</v>
      </c>
      <c r="J264" s="3" t="s">
        <v>1883</v>
      </c>
      <c r="K264" s="3" t="s">
        <v>1884</v>
      </c>
      <c r="L264" s="3" t="s">
        <v>1885</v>
      </c>
      <c r="M264" s="3" t="s">
        <v>1475</v>
      </c>
      <c r="N264" s="11"/>
    </row>
    <row r="265" customFormat="false" ht="15" hidden="false" customHeight="false" outlineLevel="0" collapsed="false">
      <c r="A265" s="3" t="n">
        <v>261</v>
      </c>
      <c r="B265" s="8" t="n">
        <v>45824</v>
      </c>
      <c r="C265" s="3" t="s">
        <v>546</v>
      </c>
      <c r="D265" s="3" t="s">
        <v>194</v>
      </c>
      <c r="E265" s="9" t="n">
        <v>218327.83</v>
      </c>
      <c r="F265" s="9"/>
      <c r="G265" s="9" t="n">
        <f aca="false">N(F265)-N(E265)</f>
        <v>-218327.83</v>
      </c>
      <c r="H265" s="3" t="n">
        <f aca="false">MONTH(B265)</f>
        <v>6</v>
      </c>
      <c r="I265" s="3" t="s">
        <v>1901</v>
      </c>
      <c r="J265" s="3" t="s">
        <v>1883</v>
      </c>
      <c r="K265" s="3" t="s">
        <v>1884</v>
      </c>
      <c r="L265" s="3" t="s">
        <v>1885</v>
      </c>
      <c r="M265" s="3" t="s">
        <v>1477</v>
      </c>
      <c r="N265" s="11" t="s">
        <v>1902</v>
      </c>
    </row>
    <row r="266" customFormat="false" ht="15" hidden="false" customHeight="false" outlineLevel="0" collapsed="false">
      <c r="A266" s="12" t="n">
        <v>262</v>
      </c>
      <c r="B266" s="13" t="n">
        <v>45824</v>
      </c>
      <c r="C266" s="12" t="s">
        <v>547</v>
      </c>
      <c r="D266" s="12" t="s">
        <v>548</v>
      </c>
      <c r="E266" s="14" t="n">
        <v>527000</v>
      </c>
      <c r="F266" s="14"/>
      <c r="G266" s="14" t="n">
        <f aca="false">N(F266)-N(E266)</f>
        <v>-527000</v>
      </c>
      <c r="H266" s="12" t="n">
        <f aca="false">MONTH(B266)</f>
        <v>6</v>
      </c>
      <c r="I266" s="12" t="s">
        <v>1908</v>
      </c>
      <c r="J266" s="12" t="s">
        <v>1883</v>
      </c>
      <c r="K266" s="12" t="s">
        <v>1896</v>
      </c>
      <c r="L266" s="12" t="s">
        <v>1885</v>
      </c>
      <c r="M266" s="12" t="s">
        <v>1478</v>
      </c>
      <c r="N266" s="15" t="s">
        <v>1909</v>
      </c>
    </row>
    <row r="267" customFormat="false" ht="15" hidden="false" customHeight="false" outlineLevel="0" collapsed="false">
      <c r="A267" s="12" t="n">
        <v>263</v>
      </c>
      <c r="B267" s="13" t="n">
        <v>45825</v>
      </c>
      <c r="C267" s="12" t="s">
        <v>549</v>
      </c>
      <c r="D267" s="12" t="s">
        <v>146</v>
      </c>
      <c r="E267" s="14"/>
      <c r="F267" s="14" t="n">
        <v>485892.5</v>
      </c>
      <c r="G267" s="14" t="n">
        <f aca="false">N(F267)-N(E267)</f>
        <v>485892.5</v>
      </c>
      <c r="H267" s="12" t="n">
        <f aca="false">MONTH(B267)</f>
        <v>6</v>
      </c>
      <c r="I267" s="12" t="s">
        <v>1895</v>
      </c>
      <c r="J267" s="12" t="s">
        <v>1883</v>
      </c>
      <c r="K267" s="12" t="s">
        <v>1896</v>
      </c>
      <c r="L267" s="12" t="s">
        <v>1885</v>
      </c>
      <c r="M267" s="12" t="s">
        <v>1479</v>
      </c>
      <c r="N267" s="15" t="s">
        <v>1897</v>
      </c>
    </row>
    <row r="268" customFormat="false" ht="15" hidden="false" customHeight="false" outlineLevel="0" collapsed="false">
      <c r="A268" s="12" t="n">
        <v>264</v>
      </c>
      <c r="B268" s="13" t="n">
        <v>45826</v>
      </c>
      <c r="C268" s="12" t="s">
        <v>550</v>
      </c>
      <c r="D268" s="12" t="s">
        <v>551</v>
      </c>
      <c r="E268" s="14" t="n">
        <v>275000</v>
      </c>
      <c r="F268" s="14"/>
      <c r="G268" s="14" t="n">
        <f aca="false">N(F268)-N(E268)</f>
        <v>-275000</v>
      </c>
      <c r="H268" s="12" t="n">
        <f aca="false">MONTH(B268)</f>
        <v>6</v>
      </c>
      <c r="I268" s="12" t="s">
        <v>1925</v>
      </c>
      <c r="J268" s="12" t="s">
        <v>1926</v>
      </c>
      <c r="K268" s="12" t="s">
        <v>1896</v>
      </c>
      <c r="L268" s="12" t="s">
        <v>1885</v>
      </c>
      <c r="M268" s="12" t="s">
        <v>1482</v>
      </c>
      <c r="N268" s="15" t="s">
        <v>1952</v>
      </c>
    </row>
    <row r="269" customFormat="false" ht="15" hidden="false" customHeight="false" outlineLevel="0" collapsed="false">
      <c r="A269" s="3" t="n">
        <v>265</v>
      </c>
      <c r="B269" s="8" t="n">
        <v>45827</v>
      </c>
      <c r="C269" s="3" t="s">
        <v>552</v>
      </c>
      <c r="D269" s="3" t="s">
        <v>553</v>
      </c>
      <c r="E269" s="9" t="n">
        <v>193657.18</v>
      </c>
      <c r="F269" s="9"/>
      <c r="G269" s="9" t="n">
        <f aca="false">N(F269)-N(E269)</f>
        <v>-193657.18</v>
      </c>
      <c r="H269" s="3" t="n">
        <f aca="false">MONTH(B269)</f>
        <v>6</v>
      </c>
      <c r="I269" s="3" t="s">
        <v>1893</v>
      </c>
      <c r="J269" s="3" t="s">
        <v>1883</v>
      </c>
      <c r="K269" s="3" t="s">
        <v>1884</v>
      </c>
      <c r="L269" s="3" t="s">
        <v>1885</v>
      </c>
      <c r="M269" s="3" t="s">
        <v>1484</v>
      </c>
      <c r="N269" s="11" t="s">
        <v>1894</v>
      </c>
    </row>
    <row r="270" customFormat="false" ht="15" hidden="false" customHeight="false" outlineLevel="0" collapsed="false">
      <c r="A270" s="3" t="n">
        <v>266</v>
      </c>
      <c r="B270" s="8" t="n">
        <v>45828</v>
      </c>
      <c r="C270" s="3" t="s">
        <v>554</v>
      </c>
      <c r="D270" s="3" t="s">
        <v>555</v>
      </c>
      <c r="E270" s="9"/>
      <c r="F270" s="9" t="n">
        <v>872140.36</v>
      </c>
      <c r="G270" s="9" t="n">
        <f aca="false">N(F270)-N(E270)</f>
        <v>872140.36</v>
      </c>
      <c r="H270" s="3" t="n">
        <f aca="false">MONTH(B270)</f>
        <v>6</v>
      </c>
      <c r="I270" s="3" t="s">
        <v>1886</v>
      </c>
      <c r="J270" s="3" t="s">
        <v>1883</v>
      </c>
      <c r="K270" s="3" t="s">
        <v>1884</v>
      </c>
      <c r="L270" s="3" t="s">
        <v>1885</v>
      </c>
      <c r="M270" s="3" t="s">
        <v>1485</v>
      </c>
      <c r="N270" s="11" t="s">
        <v>1887</v>
      </c>
    </row>
    <row r="271" customFormat="false" ht="15" hidden="false" customHeight="false" outlineLevel="0" collapsed="false">
      <c r="A271" s="16" t="n">
        <v>267</v>
      </c>
      <c r="B271" s="17" t="n">
        <v>45828</v>
      </c>
      <c r="C271" s="16" t="s">
        <v>556</v>
      </c>
      <c r="D271" s="16" t="s">
        <v>557</v>
      </c>
      <c r="E271" s="18" t="n">
        <v>5000000</v>
      </c>
      <c r="F271" s="18"/>
      <c r="G271" s="18" t="n">
        <f aca="false">N(F271)-N(E271)</f>
        <v>-5000000</v>
      </c>
      <c r="H271" s="16" t="n">
        <f aca="false">MONTH(B271)</f>
        <v>6</v>
      </c>
      <c r="I271" s="16" t="s">
        <v>1953</v>
      </c>
      <c r="J271" s="16" t="s">
        <v>1926</v>
      </c>
      <c r="K271" s="16" t="s">
        <v>1921</v>
      </c>
      <c r="L271" s="16" t="s">
        <v>1885</v>
      </c>
      <c r="M271" s="16" t="s">
        <v>1480</v>
      </c>
      <c r="N271" s="19" t="s">
        <v>1954</v>
      </c>
    </row>
    <row r="272" customFormat="false" ht="15" hidden="false" customHeight="false" outlineLevel="0" collapsed="false">
      <c r="A272" s="12" t="n">
        <v>268</v>
      </c>
      <c r="B272" s="13" t="n">
        <v>45831</v>
      </c>
      <c r="C272" s="12" t="s">
        <v>558</v>
      </c>
      <c r="D272" s="12" t="s">
        <v>559</v>
      </c>
      <c r="E272" s="14"/>
      <c r="F272" s="14" t="n">
        <v>1661600</v>
      </c>
      <c r="G272" s="14" t="n">
        <f aca="false">N(F272)-N(E272)</f>
        <v>1661600</v>
      </c>
      <c r="H272" s="12" t="n">
        <f aca="false">MONTH(B272)</f>
        <v>6</v>
      </c>
      <c r="I272" s="12" t="s">
        <v>1882</v>
      </c>
      <c r="J272" s="12" t="s">
        <v>1883</v>
      </c>
      <c r="K272" s="12" t="s">
        <v>1896</v>
      </c>
      <c r="L272" s="12" t="s">
        <v>1885</v>
      </c>
      <c r="M272" s="12" t="s">
        <v>1490</v>
      </c>
      <c r="N272" s="15" t="s">
        <v>1907</v>
      </c>
    </row>
    <row r="273" customFormat="false" ht="15" hidden="false" customHeight="false" outlineLevel="0" collapsed="false">
      <c r="A273" s="3" t="n">
        <v>269</v>
      </c>
      <c r="B273" s="8" t="n">
        <v>45831</v>
      </c>
      <c r="C273" s="3" t="s">
        <v>560</v>
      </c>
      <c r="D273" s="3" t="s">
        <v>561</v>
      </c>
      <c r="E273" s="9"/>
      <c r="F273" s="9" t="n">
        <v>796959.24</v>
      </c>
      <c r="G273" s="9" t="n">
        <f aca="false">N(F273)-N(E273)</f>
        <v>796959.24</v>
      </c>
      <c r="H273" s="3" t="n">
        <f aca="false">MONTH(B273)</f>
        <v>6</v>
      </c>
      <c r="I273" s="3" t="s">
        <v>1891</v>
      </c>
      <c r="J273" s="3" t="s">
        <v>1883</v>
      </c>
      <c r="K273" s="3" t="s">
        <v>1884</v>
      </c>
      <c r="L273" s="3" t="s">
        <v>1885</v>
      </c>
      <c r="M273" s="3" t="s">
        <v>1491</v>
      </c>
      <c r="N273" s="11" t="s">
        <v>1892</v>
      </c>
    </row>
    <row r="274" customFormat="false" ht="15" hidden="false" customHeight="false" outlineLevel="0" collapsed="false">
      <c r="A274" s="3" t="n">
        <v>270</v>
      </c>
      <c r="B274" s="8" t="n">
        <v>45831</v>
      </c>
      <c r="C274" s="3" t="s">
        <v>562</v>
      </c>
      <c r="D274" s="3" t="s">
        <v>563</v>
      </c>
      <c r="E274" s="9" t="n">
        <v>1157080.6</v>
      </c>
      <c r="F274" s="9"/>
      <c r="G274" s="9" t="n">
        <f aca="false">N(F274)-N(E274)</f>
        <v>-1157080.6</v>
      </c>
      <c r="H274" s="3" t="n">
        <f aca="false">MONTH(B274)</f>
        <v>6</v>
      </c>
      <c r="I274" s="3" t="s">
        <v>1904</v>
      </c>
      <c r="J274" s="3" t="s">
        <v>1883</v>
      </c>
      <c r="K274" s="3" t="s">
        <v>1884</v>
      </c>
      <c r="L274" s="3" t="s">
        <v>1885</v>
      </c>
      <c r="M274" s="3" t="s">
        <v>1486</v>
      </c>
      <c r="N274" s="11" t="s">
        <v>1905</v>
      </c>
    </row>
    <row r="275" customFormat="false" ht="15" hidden="false" customHeight="false" outlineLevel="0" collapsed="false">
      <c r="A275" s="3" t="n">
        <v>271</v>
      </c>
      <c r="B275" s="8" t="n">
        <v>45831</v>
      </c>
      <c r="C275" s="3" t="s">
        <v>564</v>
      </c>
      <c r="D275" s="3" t="s">
        <v>565</v>
      </c>
      <c r="E275" s="9" t="n">
        <v>218564.32</v>
      </c>
      <c r="F275" s="9"/>
      <c r="G275" s="9" t="n">
        <f aca="false">N(F275)-N(E275)</f>
        <v>-218564.32</v>
      </c>
      <c r="H275" s="3" t="n">
        <f aca="false">MONTH(B275)</f>
        <v>6</v>
      </c>
      <c r="I275" s="3" t="s">
        <v>1906</v>
      </c>
      <c r="J275" s="3" t="s">
        <v>1883</v>
      </c>
      <c r="K275" s="3" t="s">
        <v>1884</v>
      </c>
      <c r="L275" s="3" t="s">
        <v>1885</v>
      </c>
      <c r="M275" s="3" t="s">
        <v>1492</v>
      </c>
      <c r="N275" s="11"/>
    </row>
    <row r="276" customFormat="false" ht="15" hidden="false" customHeight="false" outlineLevel="0" collapsed="false">
      <c r="A276" s="3" t="n">
        <v>272</v>
      </c>
      <c r="B276" s="8" t="n">
        <v>45832</v>
      </c>
      <c r="C276" s="3" t="s">
        <v>566</v>
      </c>
      <c r="D276" s="3" t="s">
        <v>567</v>
      </c>
      <c r="E276" s="9" t="n">
        <v>50000</v>
      </c>
      <c r="F276" s="9"/>
      <c r="G276" s="9" t="n">
        <f aca="false">N(F276)-N(E276)</f>
        <v>-50000</v>
      </c>
      <c r="H276" s="3" t="n">
        <f aca="false">MONTH(B276)</f>
        <v>6</v>
      </c>
      <c r="I276" s="3" t="s">
        <v>1955</v>
      </c>
      <c r="J276" s="3" t="s">
        <v>1883</v>
      </c>
      <c r="K276" s="3" t="s">
        <v>1884</v>
      </c>
      <c r="L276" s="3" t="s">
        <v>1885</v>
      </c>
      <c r="M276" s="3" t="s">
        <v>1493</v>
      </c>
      <c r="N276" s="11"/>
    </row>
    <row r="277" customFormat="false" ht="15" hidden="false" customHeight="false" outlineLevel="0" collapsed="false">
      <c r="A277" s="3" t="n">
        <v>273</v>
      </c>
      <c r="B277" s="8" t="n">
        <v>45833</v>
      </c>
      <c r="C277" s="3" t="s">
        <v>568</v>
      </c>
      <c r="D277" s="3" t="s">
        <v>569</v>
      </c>
      <c r="E277" s="9" t="n">
        <v>2268400</v>
      </c>
      <c r="F277" s="9"/>
      <c r="G277" s="9" t="n">
        <f aca="false">N(F277)-N(E277)</f>
        <v>-2268400</v>
      </c>
      <c r="H277" s="3" t="n">
        <f aca="false">MONTH(B277)</f>
        <v>6</v>
      </c>
      <c r="I277" s="3" t="s">
        <v>1899</v>
      </c>
      <c r="J277" s="3" t="s">
        <v>1883</v>
      </c>
      <c r="K277" s="3" t="s">
        <v>1884</v>
      </c>
      <c r="L277" s="3" t="s">
        <v>1885</v>
      </c>
      <c r="M277" s="3" t="s">
        <v>1488</v>
      </c>
      <c r="N277" s="11"/>
    </row>
    <row r="278" customFormat="false" ht="15" hidden="false" customHeight="false" outlineLevel="0" collapsed="false">
      <c r="A278" s="3" t="n">
        <v>274</v>
      </c>
      <c r="B278" s="8" t="n">
        <v>45834</v>
      </c>
      <c r="C278" s="3" t="s">
        <v>570</v>
      </c>
      <c r="D278" s="3" t="s">
        <v>571</v>
      </c>
      <c r="E278" s="9" t="n">
        <v>2793100</v>
      </c>
      <c r="F278" s="9"/>
      <c r="G278" s="9" t="n">
        <f aca="false">N(F278)-N(E278)</f>
        <v>-2793100</v>
      </c>
      <c r="H278" s="3" t="n">
        <f aca="false">MONTH(B278)</f>
        <v>6</v>
      </c>
      <c r="I278" s="3" t="s">
        <v>1899</v>
      </c>
      <c r="J278" s="3" t="s">
        <v>1883</v>
      </c>
      <c r="K278" s="3" t="s">
        <v>1884</v>
      </c>
      <c r="L278" s="3" t="s">
        <v>1885</v>
      </c>
      <c r="M278" s="3" t="s">
        <v>1495</v>
      </c>
      <c r="N278" s="11"/>
    </row>
    <row r="279" customFormat="false" ht="15" hidden="false" customHeight="false" outlineLevel="0" collapsed="false">
      <c r="A279" s="16" t="n">
        <v>275</v>
      </c>
      <c r="B279" s="17" t="n">
        <v>45834</v>
      </c>
      <c r="C279" s="16" t="s">
        <v>572</v>
      </c>
      <c r="D279" s="16" t="s">
        <v>198</v>
      </c>
      <c r="E279" s="18" t="n">
        <v>750000</v>
      </c>
      <c r="F279" s="18"/>
      <c r="G279" s="18" t="n">
        <f aca="false">N(F279)-N(E279)</f>
        <v>-750000</v>
      </c>
      <c r="H279" s="16" t="n">
        <f aca="false">MONTH(B279)</f>
        <v>6</v>
      </c>
      <c r="I279" s="16" t="s">
        <v>1923</v>
      </c>
      <c r="J279" s="16" t="s">
        <v>1920</v>
      </c>
      <c r="K279" s="16" t="s">
        <v>1921</v>
      </c>
      <c r="L279" s="16" t="s">
        <v>1885</v>
      </c>
      <c r="M279" s="16" t="s">
        <v>1496</v>
      </c>
      <c r="N279" s="19" t="s">
        <v>1956</v>
      </c>
    </row>
    <row r="280" customFormat="false" ht="15" hidden="false" customHeight="false" outlineLevel="0" collapsed="false">
      <c r="A280" s="3" t="n">
        <v>276</v>
      </c>
      <c r="B280" s="8" t="n">
        <v>45835</v>
      </c>
      <c r="C280" s="3" t="s">
        <v>573</v>
      </c>
      <c r="D280" s="3" t="s">
        <v>574</v>
      </c>
      <c r="E280" s="9"/>
      <c r="F280" s="9" t="n">
        <v>1366193.46</v>
      </c>
      <c r="G280" s="9" t="n">
        <f aca="false">N(F280)-N(E280)</f>
        <v>1366193.46</v>
      </c>
      <c r="H280" s="3" t="n">
        <f aca="false">MONTH(B280)</f>
        <v>6</v>
      </c>
      <c r="I280" s="3" t="s">
        <v>1886</v>
      </c>
      <c r="J280" s="3" t="s">
        <v>1883</v>
      </c>
      <c r="K280" s="3" t="s">
        <v>1884</v>
      </c>
      <c r="L280" s="3" t="s">
        <v>1885</v>
      </c>
      <c r="M280" s="3" t="s">
        <v>1497</v>
      </c>
      <c r="N280" s="11" t="s">
        <v>1887</v>
      </c>
    </row>
    <row r="281" customFormat="false" ht="15" hidden="false" customHeight="false" outlineLevel="0" collapsed="false">
      <c r="A281" s="3" t="n">
        <v>277</v>
      </c>
      <c r="B281" s="8" t="n">
        <v>45835</v>
      </c>
      <c r="C281" s="3" t="s">
        <v>575</v>
      </c>
      <c r="D281" s="3" t="s">
        <v>576</v>
      </c>
      <c r="E281" s="9" t="n">
        <v>3781200</v>
      </c>
      <c r="F281" s="9"/>
      <c r="G281" s="9" t="n">
        <f aca="false">N(F281)-N(E281)</f>
        <v>-3781200</v>
      </c>
      <c r="H281" s="3" t="n">
        <f aca="false">MONTH(B281)</f>
        <v>6</v>
      </c>
      <c r="I281" s="3" t="s">
        <v>1910</v>
      </c>
      <c r="J281" s="3" t="s">
        <v>1883</v>
      </c>
      <c r="K281" s="3" t="s">
        <v>1884</v>
      </c>
      <c r="L281" s="3" t="s">
        <v>1885</v>
      </c>
      <c r="M281" s="3" t="s">
        <v>1498</v>
      </c>
      <c r="N281" s="11"/>
    </row>
    <row r="282" customFormat="false" ht="15" hidden="false" customHeight="false" outlineLevel="0" collapsed="false">
      <c r="A282" s="3" t="n">
        <v>278</v>
      </c>
      <c r="B282" s="8" t="n">
        <v>45838</v>
      </c>
      <c r="C282" s="3" t="s">
        <v>577</v>
      </c>
      <c r="D282" s="3" t="s">
        <v>315</v>
      </c>
      <c r="E282" s="9"/>
      <c r="F282" s="9" t="n">
        <v>37770.74</v>
      </c>
      <c r="G282" s="9" t="n">
        <f aca="false">N(F282)-N(E282)</f>
        <v>37770.74</v>
      </c>
      <c r="H282" s="3" t="n">
        <f aca="false">MONTH(B282)</f>
        <v>6</v>
      </c>
      <c r="I282" s="3" t="s">
        <v>1938</v>
      </c>
      <c r="J282" s="3" t="s">
        <v>1883</v>
      </c>
      <c r="K282" s="3" t="s">
        <v>1884</v>
      </c>
      <c r="L282" s="3" t="s">
        <v>1939</v>
      </c>
      <c r="M282" s="3" t="s">
        <v>1940</v>
      </c>
      <c r="N282" s="11" t="s">
        <v>1941</v>
      </c>
    </row>
    <row r="283" customFormat="false" ht="15" hidden="false" customHeight="false" outlineLevel="0" collapsed="false">
      <c r="A283" s="3" t="n">
        <v>279</v>
      </c>
      <c r="B283" s="8" t="n">
        <v>45838</v>
      </c>
      <c r="C283" s="3" t="s">
        <v>578</v>
      </c>
      <c r="D283" s="3" t="s">
        <v>579</v>
      </c>
      <c r="E283" s="9" t="n">
        <v>4500</v>
      </c>
      <c r="F283" s="9"/>
      <c r="G283" s="9" t="n">
        <f aca="false">N(F283)-N(E283)</f>
        <v>-4500</v>
      </c>
      <c r="H283" s="3" t="n">
        <f aca="false">MONTH(B283)</f>
        <v>6</v>
      </c>
      <c r="I283" s="3" t="s">
        <v>1911</v>
      </c>
      <c r="J283" s="3" t="s">
        <v>1883</v>
      </c>
      <c r="K283" s="3" t="s">
        <v>1884</v>
      </c>
      <c r="L283" s="3" t="s">
        <v>1912</v>
      </c>
      <c r="M283" s="3" t="s">
        <v>1500</v>
      </c>
      <c r="N283" s="11" t="s">
        <v>1913</v>
      </c>
    </row>
    <row r="284" customFormat="false" ht="15" hidden="false" customHeight="false" outlineLevel="0" collapsed="false">
      <c r="A284" s="3" t="n">
        <v>280</v>
      </c>
      <c r="B284" s="8" t="n">
        <v>45838</v>
      </c>
      <c r="C284" s="3" t="s">
        <v>580</v>
      </c>
      <c r="D284" s="3" t="s">
        <v>136</v>
      </c>
      <c r="E284" s="9" t="n">
        <v>4129.21</v>
      </c>
      <c r="F284" s="9"/>
      <c r="G284" s="9" t="n">
        <f aca="false">N(F284)-N(E284)</f>
        <v>-4129.21</v>
      </c>
      <c r="H284" s="3" t="n">
        <f aca="false">MONTH(B284)</f>
        <v>6</v>
      </c>
      <c r="I284" s="3" t="s">
        <v>1911</v>
      </c>
      <c r="J284" s="3" t="s">
        <v>1883</v>
      </c>
      <c r="K284" s="3" t="s">
        <v>1884</v>
      </c>
      <c r="L284" s="3" t="s">
        <v>1912</v>
      </c>
      <c r="M284" s="3" t="s">
        <v>1500</v>
      </c>
      <c r="N284" s="11" t="s">
        <v>1913</v>
      </c>
    </row>
    <row r="285" customFormat="false" ht="15" hidden="false" customHeight="false" outlineLevel="0" collapsed="false">
      <c r="A285" s="3" t="n">
        <v>281</v>
      </c>
      <c r="B285" s="8" t="n">
        <v>45838</v>
      </c>
      <c r="C285" s="3" t="s">
        <v>581</v>
      </c>
      <c r="D285" s="3" t="s">
        <v>224</v>
      </c>
      <c r="E285" s="9" t="n">
        <v>300</v>
      </c>
      <c r="F285" s="9"/>
      <c r="G285" s="9" t="n">
        <f aca="false">N(F285)-N(E285)</f>
        <v>-300</v>
      </c>
      <c r="H285" s="3" t="n">
        <f aca="false">MONTH(B285)</f>
        <v>6</v>
      </c>
      <c r="I285" s="3" t="s">
        <v>1911</v>
      </c>
      <c r="J285" s="3" t="s">
        <v>1883</v>
      </c>
      <c r="K285" s="3" t="s">
        <v>1884</v>
      </c>
      <c r="L285" s="3" t="s">
        <v>1912</v>
      </c>
      <c r="M285" s="3" t="s">
        <v>1500</v>
      </c>
      <c r="N285" s="11" t="s">
        <v>1913</v>
      </c>
    </row>
    <row r="286" customFormat="false" ht="15" hidden="false" customHeight="false" outlineLevel="0" collapsed="false">
      <c r="A286" s="3" t="n">
        <v>282</v>
      </c>
      <c r="B286" s="8" t="n">
        <v>45838</v>
      </c>
      <c r="C286" s="3" t="s">
        <v>582</v>
      </c>
      <c r="D286" s="3" t="s">
        <v>140</v>
      </c>
      <c r="E286" s="9" t="n">
        <v>669.69</v>
      </c>
      <c r="F286" s="9"/>
      <c r="G286" s="9" t="n">
        <f aca="false">N(F286)-N(E286)</f>
        <v>-669.69</v>
      </c>
      <c r="H286" s="3" t="n">
        <f aca="false">MONTH(B286)</f>
        <v>6</v>
      </c>
      <c r="I286" s="3" t="s">
        <v>1911</v>
      </c>
      <c r="J286" s="3" t="s">
        <v>1883</v>
      </c>
      <c r="K286" s="3" t="s">
        <v>1884</v>
      </c>
      <c r="L286" s="3" t="s">
        <v>1912</v>
      </c>
      <c r="M286" s="3" t="s">
        <v>1500</v>
      </c>
      <c r="N286" s="11" t="s">
        <v>1913</v>
      </c>
    </row>
    <row r="287" customFormat="false" ht="15" hidden="false" customHeight="false" outlineLevel="0" collapsed="false">
      <c r="A287" s="3" t="n">
        <v>283</v>
      </c>
      <c r="B287" s="8" t="n">
        <v>45838</v>
      </c>
      <c r="C287" s="3" t="s">
        <v>583</v>
      </c>
      <c r="D287" s="3" t="s">
        <v>584</v>
      </c>
      <c r="E287" s="9" t="n">
        <v>800</v>
      </c>
      <c r="F287" s="9"/>
      <c r="G287" s="9" t="n">
        <f aca="false">N(F287)-N(E287)</f>
        <v>-800</v>
      </c>
      <c r="H287" s="3" t="n">
        <f aca="false">MONTH(B287)</f>
        <v>6</v>
      </c>
      <c r="I287" s="3" t="s">
        <v>1914</v>
      </c>
      <c r="J287" s="3" t="s">
        <v>1883</v>
      </c>
      <c r="K287" s="3" t="s">
        <v>1884</v>
      </c>
      <c r="L287" s="3" t="s">
        <v>1912</v>
      </c>
      <c r="M287" s="3" t="s">
        <v>1500</v>
      </c>
      <c r="N287" s="11" t="s">
        <v>1913</v>
      </c>
    </row>
    <row r="288" customFormat="false" ht="15" hidden="false" customHeight="false" outlineLevel="0" collapsed="false">
      <c r="A288" s="12" t="n">
        <v>284</v>
      </c>
      <c r="B288" s="13" t="n">
        <v>45840</v>
      </c>
      <c r="C288" s="12" t="s">
        <v>585</v>
      </c>
      <c r="D288" s="12" t="s">
        <v>586</v>
      </c>
      <c r="E288" s="14"/>
      <c r="F288" s="14" t="n">
        <v>2843300</v>
      </c>
      <c r="G288" s="14" t="n">
        <f aca="false">N(F288)-N(E288)</f>
        <v>2843300</v>
      </c>
      <c r="H288" s="12" t="n">
        <f aca="false">MONTH(B288)</f>
        <v>7</v>
      </c>
      <c r="I288" s="12" t="s">
        <v>1882</v>
      </c>
      <c r="J288" s="12" t="s">
        <v>1883</v>
      </c>
      <c r="K288" s="12" t="s">
        <v>1896</v>
      </c>
      <c r="L288" s="12" t="s">
        <v>1885</v>
      </c>
      <c r="M288" s="12" t="s">
        <v>1502</v>
      </c>
      <c r="N288" s="15" t="s">
        <v>1907</v>
      </c>
    </row>
    <row r="289" customFormat="false" ht="15" hidden="false" customHeight="false" outlineLevel="0" collapsed="false">
      <c r="A289" s="12" t="n">
        <v>285</v>
      </c>
      <c r="B289" s="13" t="n">
        <v>45841</v>
      </c>
      <c r="C289" s="12" t="s">
        <v>587</v>
      </c>
      <c r="D289" s="12" t="s">
        <v>588</v>
      </c>
      <c r="E289" s="14"/>
      <c r="F289" s="14" t="n">
        <v>4134700</v>
      </c>
      <c r="G289" s="14" t="n">
        <f aca="false">N(F289)-N(E289)</f>
        <v>4134700</v>
      </c>
      <c r="H289" s="12" t="n">
        <f aca="false">MONTH(B289)</f>
        <v>7</v>
      </c>
      <c r="I289" s="12" t="s">
        <v>1882</v>
      </c>
      <c r="J289" s="12" t="s">
        <v>1883</v>
      </c>
      <c r="K289" s="12" t="s">
        <v>1896</v>
      </c>
      <c r="L289" s="12" t="s">
        <v>1885</v>
      </c>
      <c r="M289" s="12" t="s">
        <v>1504</v>
      </c>
      <c r="N289" s="15" t="s">
        <v>1907</v>
      </c>
    </row>
    <row r="290" customFormat="false" ht="15" hidden="false" customHeight="false" outlineLevel="0" collapsed="false">
      <c r="A290" s="3" t="n">
        <v>286</v>
      </c>
      <c r="B290" s="8" t="n">
        <v>45845</v>
      </c>
      <c r="C290" s="3" t="s">
        <v>589</v>
      </c>
      <c r="D290" s="3" t="s">
        <v>590</v>
      </c>
      <c r="E290" s="9"/>
      <c r="F290" s="9" t="n">
        <v>648263.41</v>
      </c>
      <c r="G290" s="9" t="n">
        <f aca="false">N(F290)-N(E290)</f>
        <v>648263.41</v>
      </c>
      <c r="H290" s="3" t="n">
        <f aca="false">MONTH(B290)</f>
        <v>7</v>
      </c>
      <c r="I290" s="3" t="s">
        <v>1886</v>
      </c>
      <c r="J290" s="3" t="s">
        <v>1883</v>
      </c>
      <c r="K290" s="3" t="s">
        <v>1884</v>
      </c>
      <c r="L290" s="3" t="s">
        <v>1885</v>
      </c>
      <c r="M290" s="3" t="s">
        <v>1505</v>
      </c>
      <c r="N290" s="11" t="s">
        <v>1887</v>
      </c>
    </row>
    <row r="291" customFormat="false" ht="15" hidden="false" customHeight="false" outlineLevel="0" collapsed="false">
      <c r="A291" s="12" t="n">
        <v>287</v>
      </c>
      <c r="B291" s="13" t="n">
        <v>45845</v>
      </c>
      <c r="C291" s="12" t="s">
        <v>591</v>
      </c>
      <c r="D291" s="12" t="s">
        <v>146</v>
      </c>
      <c r="E291" s="14"/>
      <c r="F291" s="14" t="n">
        <v>478485.47</v>
      </c>
      <c r="G291" s="14" t="n">
        <f aca="false">N(F291)-N(E291)</f>
        <v>478485.47</v>
      </c>
      <c r="H291" s="12" t="n">
        <f aca="false">MONTH(B291)</f>
        <v>7</v>
      </c>
      <c r="I291" s="12" t="s">
        <v>1895</v>
      </c>
      <c r="J291" s="12" t="s">
        <v>1883</v>
      </c>
      <c r="K291" s="12" t="s">
        <v>1896</v>
      </c>
      <c r="L291" s="12" t="s">
        <v>1885</v>
      </c>
      <c r="M291" s="12" t="s">
        <v>1507</v>
      </c>
      <c r="N291" s="15" t="s">
        <v>1897</v>
      </c>
    </row>
    <row r="292" customFormat="false" ht="15" hidden="false" customHeight="false" outlineLevel="0" collapsed="false">
      <c r="A292" s="3" t="n">
        <v>288</v>
      </c>
      <c r="B292" s="8" t="n">
        <v>45845</v>
      </c>
      <c r="C292" s="3" t="s">
        <v>592</v>
      </c>
      <c r="D292" s="3" t="s">
        <v>593</v>
      </c>
      <c r="E292" s="9" t="n">
        <v>1040900</v>
      </c>
      <c r="F292" s="9"/>
      <c r="G292" s="9" t="n">
        <f aca="false">N(F292)-N(E292)</f>
        <v>-1040900</v>
      </c>
      <c r="H292" s="3" t="n">
        <f aca="false">MONTH(B292)</f>
        <v>7</v>
      </c>
      <c r="I292" s="3" t="s">
        <v>1899</v>
      </c>
      <c r="J292" s="3" t="s">
        <v>1883</v>
      </c>
      <c r="K292" s="3" t="s">
        <v>1884</v>
      </c>
      <c r="L292" s="3" t="s">
        <v>1885</v>
      </c>
      <c r="M292" s="3" t="s">
        <v>1508</v>
      </c>
      <c r="N292" s="11"/>
    </row>
    <row r="293" customFormat="false" ht="15" hidden="false" customHeight="false" outlineLevel="0" collapsed="false">
      <c r="A293" s="3" t="n">
        <v>289</v>
      </c>
      <c r="B293" s="8" t="n">
        <v>45845</v>
      </c>
      <c r="C293" s="3" t="s">
        <v>594</v>
      </c>
      <c r="D293" s="3" t="s">
        <v>595</v>
      </c>
      <c r="E293" s="9" t="n">
        <v>261500</v>
      </c>
      <c r="F293" s="9"/>
      <c r="G293" s="9" t="n">
        <f aca="false">N(F293)-N(E293)</f>
        <v>-261500</v>
      </c>
      <c r="H293" s="3" t="n">
        <f aca="false">MONTH(B293)</f>
        <v>7</v>
      </c>
      <c r="I293" s="3" t="s">
        <v>1888</v>
      </c>
      <c r="J293" s="3" t="s">
        <v>1883</v>
      </c>
      <c r="K293" s="3" t="s">
        <v>1884</v>
      </c>
      <c r="L293" s="3" t="s">
        <v>1885</v>
      </c>
      <c r="M293" s="3" t="s">
        <v>1509</v>
      </c>
      <c r="N293" s="11"/>
    </row>
    <row r="294" customFormat="false" ht="15" hidden="false" customHeight="false" outlineLevel="0" collapsed="false">
      <c r="A294" s="3" t="n">
        <v>290</v>
      </c>
      <c r="B294" s="8" t="n">
        <v>45845</v>
      </c>
      <c r="C294" s="3" t="s">
        <v>596</v>
      </c>
      <c r="D294" s="3" t="s">
        <v>597</v>
      </c>
      <c r="E294" s="9" t="n">
        <v>287600</v>
      </c>
      <c r="F294" s="9"/>
      <c r="G294" s="9" t="n">
        <f aca="false">N(F294)-N(E294)</f>
        <v>-287600</v>
      </c>
      <c r="H294" s="3" t="n">
        <f aca="false">MONTH(B294)</f>
        <v>7</v>
      </c>
      <c r="I294" s="3" t="s">
        <v>1888</v>
      </c>
      <c r="J294" s="3" t="s">
        <v>1883</v>
      </c>
      <c r="K294" s="3" t="s">
        <v>1884</v>
      </c>
      <c r="L294" s="3" t="s">
        <v>1885</v>
      </c>
      <c r="M294" s="3" t="s">
        <v>1506</v>
      </c>
      <c r="N294" s="11"/>
    </row>
    <row r="295" customFormat="false" ht="15" hidden="false" customHeight="false" outlineLevel="0" collapsed="false">
      <c r="A295" s="3" t="n">
        <v>291</v>
      </c>
      <c r="B295" s="8" t="n">
        <v>45845</v>
      </c>
      <c r="C295" s="3" t="s">
        <v>598</v>
      </c>
      <c r="D295" s="3" t="s">
        <v>599</v>
      </c>
      <c r="E295" s="9" t="n">
        <v>85000</v>
      </c>
      <c r="F295" s="9"/>
      <c r="G295" s="9" t="n">
        <f aca="false">N(F295)-N(E295)</f>
        <v>-85000</v>
      </c>
      <c r="H295" s="3" t="n">
        <f aca="false">MONTH(B295)</f>
        <v>7</v>
      </c>
      <c r="I295" s="3" t="s">
        <v>1888</v>
      </c>
      <c r="J295" s="3" t="s">
        <v>1883</v>
      </c>
      <c r="K295" s="3" t="s">
        <v>1884</v>
      </c>
      <c r="L295" s="3" t="s">
        <v>1885</v>
      </c>
      <c r="M295" s="3" t="s">
        <v>1503</v>
      </c>
      <c r="N295" s="11"/>
    </row>
    <row r="296" customFormat="false" ht="15" hidden="false" customHeight="false" outlineLevel="0" collapsed="false">
      <c r="A296" s="3" t="n">
        <v>292</v>
      </c>
      <c r="B296" s="8" t="n">
        <v>45845</v>
      </c>
      <c r="C296" s="3" t="s">
        <v>600</v>
      </c>
      <c r="D296" s="3" t="s">
        <v>601</v>
      </c>
      <c r="E296" s="9" t="n">
        <v>244801.5</v>
      </c>
      <c r="F296" s="9"/>
      <c r="G296" s="9" t="n">
        <f aca="false">N(F296)-N(E296)</f>
        <v>-244801.5</v>
      </c>
      <c r="H296" s="3" t="n">
        <f aca="false">MONTH(B296)</f>
        <v>7</v>
      </c>
      <c r="I296" s="3" t="s">
        <v>1893</v>
      </c>
      <c r="J296" s="3" t="s">
        <v>1883</v>
      </c>
      <c r="K296" s="3" t="s">
        <v>1884</v>
      </c>
      <c r="L296" s="3" t="s">
        <v>1885</v>
      </c>
      <c r="M296" s="3" t="s">
        <v>1510</v>
      </c>
      <c r="N296" s="11" t="s">
        <v>1894</v>
      </c>
    </row>
    <row r="297" customFormat="false" ht="15" hidden="false" customHeight="false" outlineLevel="0" collapsed="false">
      <c r="A297" s="3" t="n">
        <v>293</v>
      </c>
      <c r="B297" s="8" t="n">
        <v>45845</v>
      </c>
      <c r="C297" s="3" t="s">
        <v>602</v>
      </c>
      <c r="D297" s="3" t="s">
        <v>603</v>
      </c>
      <c r="E297" s="9" t="n">
        <v>1500000</v>
      </c>
      <c r="F297" s="9"/>
      <c r="G297" s="9" t="n">
        <f aca="false">N(F297)-N(E297)</f>
        <v>-1500000</v>
      </c>
      <c r="H297" s="3" t="n">
        <f aca="false">MONTH(B297)</f>
        <v>7</v>
      </c>
      <c r="I297" s="3" t="s">
        <v>1889</v>
      </c>
      <c r="J297" s="3" t="s">
        <v>1883</v>
      </c>
      <c r="K297" s="3" t="s">
        <v>1884</v>
      </c>
      <c r="L297" s="3" t="s">
        <v>1885</v>
      </c>
      <c r="M297" s="3" t="s">
        <v>1511</v>
      </c>
      <c r="N297" s="11"/>
    </row>
    <row r="298" customFormat="false" ht="15" hidden="false" customHeight="false" outlineLevel="0" collapsed="false">
      <c r="A298" s="3" t="n">
        <v>294</v>
      </c>
      <c r="B298" s="8" t="n">
        <v>45846</v>
      </c>
      <c r="C298" s="3" t="s">
        <v>604</v>
      </c>
      <c r="D298" s="3" t="s">
        <v>605</v>
      </c>
      <c r="E298" s="9"/>
      <c r="F298" s="9" t="n">
        <v>1661800</v>
      </c>
      <c r="G298" s="9" t="n">
        <f aca="false">N(F298)-N(E298)</f>
        <v>1661800</v>
      </c>
      <c r="H298" s="3" t="n">
        <f aca="false">MONTH(B298)</f>
        <v>7</v>
      </c>
      <c r="I298" s="3" t="s">
        <v>1882</v>
      </c>
      <c r="J298" s="3" t="s">
        <v>1883</v>
      </c>
      <c r="K298" s="3" t="s">
        <v>1884</v>
      </c>
      <c r="L298" s="3" t="s">
        <v>1885</v>
      </c>
      <c r="M298" s="3" t="s">
        <v>1516</v>
      </c>
      <c r="N298" s="11"/>
    </row>
    <row r="299" customFormat="false" ht="15" hidden="false" customHeight="false" outlineLevel="0" collapsed="false">
      <c r="A299" s="3" t="n">
        <v>295</v>
      </c>
      <c r="B299" s="8" t="n">
        <v>45847</v>
      </c>
      <c r="C299" s="3" t="s">
        <v>606</v>
      </c>
      <c r="D299" s="3" t="s">
        <v>607</v>
      </c>
      <c r="E299" s="9"/>
      <c r="F299" s="9" t="n">
        <v>363379.03</v>
      </c>
      <c r="G299" s="9" t="n">
        <f aca="false">N(F299)-N(E299)</f>
        <v>363379.03</v>
      </c>
      <c r="H299" s="3" t="n">
        <f aca="false">MONTH(B299)</f>
        <v>7</v>
      </c>
      <c r="I299" s="3" t="s">
        <v>1891</v>
      </c>
      <c r="J299" s="3" t="s">
        <v>1883</v>
      </c>
      <c r="K299" s="3" t="s">
        <v>1884</v>
      </c>
      <c r="L299" s="3" t="s">
        <v>1885</v>
      </c>
      <c r="M299" s="3" t="s">
        <v>1513</v>
      </c>
      <c r="N299" s="11" t="s">
        <v>1892</v>
      </c>
    </row>
    <row r="300" customFormat="false" ht="15" hidden="false" customHeight="false" outlineLevel="0" collapsed="false">
      <c r="A300" s="3" t="n">
        <v>296</v>
      </c>
      <c r="B300" s="8" t="n">
        <v>45848</v>
      </c>
      <c r="C300" s="3" t="s">
        <v>608</v>
      </c>
      <c r="D300" s="3" t="s">
        <v>609</v>
      </c>
      <c r="E300" s="9" t="n">
        <v>450800</v>
      </c>
      <c r="F300" s="9"/>
      <c r="G300" s="9" t="n">
        <f aca="false">N(F300)-N(E300)</f>
        <v>-450800</v>
      </c>
      <c r="H300" s="3" t="n">
        <f aca="false">MONTH(B300)</f>
        <v>7</v>
      </c>
      <c r="I300" s="3" t="s">
        <v>1898</v>
      </c>
      <c r="J300" s="3" t="s">
        <v>1883</v>
      </c>
      <c r="K300" s="3" t="s">
        <v>1884</v>
      </c>
      <c r="L300" s="3" t="s">
        <v>1885</v>
      </c>
      <c r="M300" s="3" t="s">
        <v>1521</v>
      </c>
      <c r="N300" s="11"/>
    </row>
    <row r="301" customFormat="false" ht="15" hidden="false" customHeight="false" outlineLevel="0" collapsed="false">
      <c r="A301" s="3" t="n">
        <v>297</v>
      </c>
      <c r="B301" s="8" t="n">
        <v>45848</v>
      </c>
      <c r="C301" s="3" t="s">
        <v>610</v>
      </c>
      <c r="D301" s="3" t="s">
        <v>611</v>
      </c>
      <c r="E301" s="9" t="n">
        <v>1057421.95</v>
      </c>
      <c r="F301" s="9"/>
      <c r="G301" s="9" t="n">
        <f aca="false">N(F301)-N(E301)</f>
        <v>-1057421.95</v>
      </c>
      <c r="H301" s="3" t="n">
        <f aca="false">MONTH(B301)</f>
        <v>7</v>
      </c>
      <c r="I301" s="3" t="s">
        <v>1944</v>
      </c>
      <c r="J301" s="3" t="s">
        <v>1920</v>
      </c>
      <c r="K301" s="3" t="s">
        <v>1884</v>
      </c>
      <c r="L301" s="3" t="s">
        <v>1885</v>
      </c>
      <c r="M301" s="3" t="s">
        <v>1518</v>
      </c>
      <c r="N301" s="11" t="s">
        <v>1945</v>
      </c>
    </row>
    <row r="302" customFormat="false" ht="15" hidden="false" customHeight="false" outlineLevel="0" collapsed="false">
      <c r="A302" s="3" t="n">
        <v>298</v>
      </c>
      <c r="B302" s="8" t="n">
        <v>45849</v>
      </c>
      <c r="C302" s="3" t="s">
        <v>612</v>
      </c>
      <c r="D302" s="3" t="s">
        <v>613</v>
      </c>
      <c r="E302" s="9" t="n">
        <v>2396800</v>
      </c>
      <c r="F302" s="9"/>
      <c r="G302" s="9" t="n">
        <f aca="false">N(F302)-N(E302)</f>
        <v>-2396800</v>
      </c>
      <c r="H302" s="3" t="n">
        <f aca="false">MONTH(B302)</f>
        <v>7</v>
      </c>
      <c r="I302" s="3" t="s">
        <v>1899</v>
      </c>
      <c r="J302" s="3" t="s">
        <v>1883</v>
      </c>
      <c r="K302" s="3" t="s">
        <v>1884</v>
      </c>
      <c r="L302" s="3" t="s">
        <v>1885</v>
      </c>
      <c r="M302" s="3" t="s">
        <v>1514</v>
      </c>
      <c r="N302" s="11"/>
    </row>
    <row r="303" customFormat="false" ht="15" hidden="false" customHeight="false" outlineLevel="0" collapsed="false">
      <c r="A303" s="3" t="n">
        <v>299</v>
      </c>
      <c r="B303" s="8" t="n">
        <v>45852</v>
      </c>
      <c r="C303" s="3" t="s">
        <v>614</v>
      </c>
      <c r="D303" s="3" t="s">
        <v>615</v>
      </c>
      <c r="E303" s="9"/>
      <c r="F303" s="9" t="n">
        <v>1822400.73</v>
      </c>
      <c r="G303" s="9" t="n">
        <f aca="false">N(F303)-N(E303)</f>
        <v>1822400.73</v>
      </c>
      <c r="H303" s="3" t="n">
        <f aca="false">MONTH(B303)</f>
        <v>7</v>
      </c>
      <c r="I303" s="3" t="s">
        <v>1886</v>
      </c>
      <c r="J303" s="3" t="s">
        <v>1883</v>
      </c>
      <c r="K303" s="3" t="s">
        <v>1884</v>
      </c>
      <c r="L303" s="3" t="s">
        <v>1885</v>
      </c>
      <c r="M303" s="3" t="s">
        <v>1523</v>
      </c>
      <c r="N303" s="11" t="s">
        <v>1887</v>
      </c>
    </row>
    <row r="304" customFormat="false" ht="15" hidden="false" customHeight="false" outlineLevel="0" collapsed="false">
      <c r="A304" s="3" t="n">
        <v>300</v>
      </c>
      <c r="B304" s="8" t="n">
        <v>45852</v>
      </c>
      <c r="C304" s="3" t="s">
        <v>616</v>
      </c>
      <c r="D304" s="3" t="s">
        <v>617</v>
      </c>
      <c r="E304" s="9" t="n">
        <v>2731900</v>
      </c>
      <c r="F304" s="9"/>
      <c r="G304" s="9" t="n">
        <f aca="false">N(F304)-N(E304)</f>
        <v>-2731900</v>
      </c>
      <c r="H304" s="3" t="n">
        <f aca="false">MONTH(B304)</f>
        <v>7</v>
      </c>
      <c r="I304" s="3" t="s">
        <v>1893</v>
      </c>
      <c r="J304" s="3" t="s">
        <v>1883</v>
      </c>
      <c r="K304" s="3" t="s">
        <v>1884</v>
      </c>
      <c r="L304" s="3" t="s">
        <v>1885</v>
      </c>
      <c r="M304" s="3" t="s">
        <v>1524</v>
      </c>
      <c r="N304" s="11"/>
    </row>
    <row r="305" customFormat="false" ht="15" hidden="false" customHeight="false" outlineLevel="0" collapsed="false">
      <c r="A305" s="3" t="n">
        <v>301</v>
      </c>
      <c r="B305" s="8" t="n">
        <v>45852</v>
      </c>
      <c r="C305" s="3" t="s">
        <v>618</v>
      </c>
      <c r="D305" s="3" t="s">
        <v>619</v>
      </c>
      <c r="E305" s="9" t="n">
        <v>241002.15</v>
      </c>
      <c r="F305" s="9"/>
      <c r="G305" s="9" t="n">
        <f aca="false">N(F305)-N(E305)</f>
        <v>-241002.15</v>
      </c>
      <c r="H305" s="3" t="n">
        <f aca="false">MONTH(B305)</f>
        <v>7</v>
      </c>
      <c r="I305" s="3" t="s">
        <v>1900</v>
      </c>
      <c r="J305" s="3" t="s">
        <v>1883</v>
      </c>
      <c r="K305" s="3" t="s">
        <v>1884</v>
      </c>
      <c r="L305" s="3" t="s">
        <v>1885</v>
      </c>
      <c r="M305" s="3" t="s">
        <v>1525</v>
      </c>
      <c r="N305" s="11"/>
    </row>
    <row r="306" customFormat="false" ht="15" hidden="false" customHeight="false" outlineLevel="0" collapsed="false">
      <c r="A306" s="12" t="n">
        <v>302</v>
      </c>
      <c r="B306" s="13" t="n">
        <v>45852</v>
      </c>
      <c r="C306" s="12" t="s">
        <v>620</v>
      </c>
      <c r="D306" s="12" t="s">
        <v>621</v>
      </c>
      <c r="E306" s="14" t="n">
        <v>519000</v>
      </c>
      <c r="F306" s="14"/>
      <c r="G306" s="14" t="n">
        <f aca="false">N(F306)-N(E306)</f>
        <v>-519000</v>
      </c>
      <c r="H306" s="12" t="n">
        <f aca="false">MONTH(B306)</f>
        <v>7</v>
      </c>
      <c r="I306" s="12" t="s">
        <v>1908</v>
      </c>
      <c r="J306" s="12" t="s">
        <v>1883</v>
      </c>
      <c r="K306" s="12" t="s">
        <v>1896</v>
      </c>
      <c r="L306" s="12" t="s">
        <v>1885</v>
      </c>
      <c r="M306" s="12" t="s">
        <v>1520</v>
      </c>
      <c r="N306" s="15" t="s">
        <v>1909</v>
      </c>
    </row>
    <row r="307" customFormat="false" ht="15" hidden="false" customHeight="false" outlineLevel="0" collapsed="false">
      <c r="A307" s="3" t="n">
        <v>303</v>
      </c>
      <c r="B307" s="8" t="n">
        <v>45852</v>
      </c>
      <c r="C307" s="3" t="s">
        <v>622</v>
      </c>
      <c r="D307" s="3" t="s">
        <v>623</v>
      </c>
      <c r="E307" s="9" t="n">
        <v>1850000</v>
      </c>
      <c r="F307" s="9"/>
      <c r="G307" s="9" t="n">
        <f aca="false">N(F307)-N(E307)</f>
        <v>-1850000</v>
      </c>
      <c r="H307" s="3" t="n">
        <f aca="false">MONTH(B307)</f>
        <v>7</v>
      </c>
      <c r="I307" s="3" t="s">
        <v>1899</v>
      </c>
      <c r="J307" s="3" t="s">
        <v>1883</v>
      </c>
      <c r="K307" s="3" t="s">
        <v>1884</v>
      </c>
      <c r="L307" s="3" t="s">
        <v>1885</v>
      </c>
      <c r="M307" s="3" t="s">
        <v>1526</v>
      </c>
      <c r="N307" s="11"/>
    </row>
    <row r="308" customFormat="false" ht="15" hidden="false" customHeight="false" outlineLevel="0" collapsed="false">
      <c r="A308" s="16" t="n">
        <v>304</v>
      </c>
      <c r="B308" s="17" t="n">
        <v>45852</v>
      </c>
      <c r="C308" s="16" t="s">
        <v>624</v>
      </c>
      <c r="D308" s="16" t="s">
        <v>623</v>
      </c>
      <c r="E308" s="18" t="n">
        <v>1850000</v>
      </c>
      <c r="F308" s="18"/>
      <c r="G308" s="18" t="n">
        <f aca="false">N(F308)-N(E308)</f>
        <v>-1850000</v>
      </c>
      <c r="H308" s="16" t="n">
        <f aca="false">MONTH(B308)</f>
        <v>7</v>
      </c>
      <c r="I308" s="16" t="s">
        <v>1957</v>
      </c>
      <c r="J308" s="16" t="s">
        <v>1926</v>
      </c>
      <c r="K308" s="16" t="s">
        <v>1921</v>
      </c>
      <c r="L308" s="16" t="s">
        <v>1939</v>
      </c>
      <c r="M308" s="16" t="s">
        <v>1940</v>
      </c>
      <c r="N308" s="19" t="s">
        <v>1958</v>
      </c>
    </row>
    <row r="309" customFormat="false" ht="15" hidden="false" customHeight="false" outlineLevel="0" collapsed="false">
      <c r="A309" s="3" t="n">
        <v>305</v>
      </c>
      <c r="B309" s="8" t="n">
        <v>45853</v>
      </c>
      <c r="C309" s="3" t="s">
        <v>625</v>
      </c>
      <c r="D309" s="3" t="s">
        <v>626</v>
      </c>
      <c r="E309" s="9" t="n">
        <v>828000</v>
      </c>
      <c r="F309" s="9"/>
      <c r="G309" s="9" t="n">
        <f aca="false">N(F309)-N(E309)</f>
        <v>-828000</v>
      </c>
      <c r="H309" s="3" t="n">
        <f aca="false">MONTH(B309)</f>
        <v>7</v>
      </c>
      <c r="I309" s="3" t="s">
        <v>1903</v>
      </c>
      <c r="J309" s="3" t="s">
        <v>1883</v>
      </c>
      <c r="K309" s="3" t="s">
        <v>1884</v>
      </c>
      <c r="L309" s="3" t="s">
        <v>1885</v>
      </c>
      <c r="M309" s="3" t="s">
        <v>1528</v>
      </c>
      <c r="N309" s="11"/>
    </row>
    <row r="310" customFormat="false" ht="15" hidden="false" customHeight="false" outlineLevel="0" collapsed="false">
      <c r="A310" s="16" t="n">
        <v>306</v>
      </c>
      <c r="B310" s="17" t="n">
        <v>45853</v>
      </c>
      <c r="C310" s="16" t="s">
        <v>627</v>
      </c>
      <c r="D310" s="16" t="s">
        <v>628</v>
      </c>
      <c r="E310" s="18"/>
      <c r="F310" s="18" t="n">
        <v>1850000</v>
      </c>
      <c r="G310" s="18" t="n">
        <f aca="false">N(F310)-N(E310)</f>
        <v>1850000</v>
      </c>
      <c r="H310" s="16" t="n">
        <f aca="false">MONTH(B310)</f>
        <v>7</v>
      </c>
      <c r="I310" s="16" t="s">
        <v>1957</v>
      </c>
      <c r="J310" s="16" t="s">
        <v>1926</v>
      </c>
      <c r="K310" s="16" t="s">
        <v>1921</v>
      </c>
      <c r="L310" s="16" t="s">
        <v>1939</v>
      </c>
      <c r="M310" s="16" t="s">
        <v>1940</v>
      </c>
      <c r="N310" s="19" t="s">
        <v>1959</v>
      </c>
    </row>
    <row r="311" customFormat="false" ht="15" hidden="false" customHeight="false" outlineLevel="0" collapsed="false">
      <c r="A311" s="3" t="n">
        <v>307</v>
      </c>
      <c r="B311" s="8" t="n">
        <v>45856</v>
      </c>
      <c r="C311" s="3" t="s">
        <v>629</v>
      </c>
      <c r="D311" s="3" t="s">
        <v>630</v>
      </c>
      <c r="E311" s="9"/>
      <c r="F311" s="9" t="n">
        <v>4244600</v>
      </c>
      <c r="G311" s="9" t="n">
        <f aca="false">N(F311)-N(E311)</f>
        <v>4244600</v>
      </c>
      <c r="H311" s="3" t="n">
        <f aca="false">MONTH(B311)</f>
        <v>7</v>
      </c>
      <c r="I311" s="3" t="s">
        <v>1882</v>
      </c>
      <c r="J311" s="3" t="s">
        <v>1883</v>
      </c>
      <c r="K311" s="3" t="s">
        <v>1884</v>
      </c>
      <c r="L311" s="3" t="s">
        <v>1885</v>
      </c>
      <c r="M311" s="3" t="s">
        <v>1530</v>
      </c>
      <c r="N311" s="11"/>
    </row>
    <row r="312" customFormat="false" ht="15" hidden="false" customHeight="false" outlineLevel="0" collapsed="false">
      <c r="A312" s="3" t="n">
        <v>308</v>
      </c>
      <c r="B312" s="8" t="n">
        <v>45856</v>
      </c>
      <c r="C312" s="3" t="s">
        <v>631</v>
      </c>
      <c r="D312" s="3" t="s">
        <v>632</v>
      </c>
      <c r="E312" s="9" t="n">
        <v>10000000</v>
      </c>
      <c r="F312" s="9"/>
      <c r="G312" s="9" t="n">
        <f aca="false">N(F312)-N(E312)</f>
        <v>-10000000</v>
      </c>
      <c r="H312" s="3" t="n">
        <f aca="false">MONTH(B312)</f>
        <v>7</v>
      </c>
      <c r="I312" s="3" t="s">
        <v>1916</v>
      </c>
      <c r="J312" s="3" t="s">
        <v>1917</v>
      </c>
      <c r="K312" s="3" t="s">
        <v>1884</v>
      </c>
      <c r="L312" s="3" t="s">
        <v>1885</v>
      </c>
      <c r="M312" s="3" t="s">
        <v>1534</v>
      </c>
      <c r="N312" s="11"/>
    </row>
    <row r="313" customFormat="false" ht="15" hidden="false" customHeight="false" outlineLevel="0" collapsed="false">
      <c r="A313" s="12" t="n">
        <v>309</v>
      </c>
      <c r="B313" s="13" t="n">
        <v>45859</v>
      </c>
      <c r="C313" s="12" t="s">
        <v>633</v>
      </c>
      <c r="D313" s="12" t="s">
        <v>634</v>
      </c>
      <c r="E313" s="14"/>
      <c r="F313" s="14" t="n">
        <v>3959300</v>
      </c>
      <c r="G313" s="14" t="n">
        <f aca="false">N(F313)-N(E313)</f>
        <v>3959300</v>
      </c>
      <c r="H313" s="12" t="n">
        <f aca="false">MONTH(B313)</f>
        <v>7</v>
      </c>
      <c r="I313" s="12" t="s">
        <v>1882</v>
      </c>
      <c r="J313" s="12" t="s">
        <v>1883</v>
      </c>
      <c r="K313" s="12" t="s">
        <v>1896</v>
      </c>
      <c r="L313" s="12" t="s">
        <v>1885</v>
      </c>
      <c r="M313" s="12" t="s">
        <v>1540</v>
      </c>
      <c r="N313" s="15" t="s">
        <v>1907</v>
      </c>
    </row>
    <row r="314" customFormat="false" ht="15" hidden="false" customHeight="false" outlineLevel="0" collapsed="false">
      <c r="A314" s="3" t="n">
        <v>310</v>
      </c>
      <c r="B314" s="8" t="n">
        <v>45859</v>
      </c>
      <c r="C314" s="3" t="s">
        <v>635</v>
      </c>
      <c r="D314" s="3" t="s">
        <v>636</v>
      </c>
      <c r="E314" s="9"/>
      <c r="F314" s="9" t="n">
        <v>892100</v>
      </c>
      <c r="G314" s="9" t="n">
        <f aca="false">N(F314)-N(E314)</f>
        <v>892100</v>
      </c>
      <c r="H314" s="3" t="n">
        <f aca="false">MONTH(B314)</f>
        <v>7</v>
      </c>
      <c r="I314" s="3" t="s">
        <v>1882</v>
      </c>
      <c r="J314" s="3" t="s">
        <v>1883</v>
      </c>
      <c r="K314" s="3" t="s">
        <v>1884</v>
      </c>
      <c r="L314" s="3" t="s">
        <v>1885</v>
      </c>
      <c r="M314" s="3" t="s">
        <v>1541</v>
      </c>
      <c r="N314" s="11"/>
    </row>
    <row r="315" customFormat="false" ht="15" hidden="false" customHeight="false" outlineLevel="0" collapsed="false">
      <c r="A315" s="3" t="n">
        <v>311</v>
      </c>
      <c r="B315" s="8" t="n">
        <v>45859</v>
      </c>
      <c r="C315" s="3" t="s">
        <v>637</v>
      </c>
      <c r="D315" s="3" t="s">
        <v>638</v>
      </c>
      <c r="E315" s="9"/>
      <c r="F315" s="9" t="n">
        <v>1394992.88</v>
      </c>
      <c r="G315" s="9" t="n">
        <f aca="false">N(F315)-N(E315)</f>
        <v>1394992.88</v>
      </c>
      <c r="H315" s="3" t="n">
        <f aca="false">MONTH(B315)</f>
        <v>7</v>
      </c>
      <c r="I315" s="3" t="s">
        <v>1886</v>
      </c>
      <c r="J315" s="3" t="s">
        <v>1883</v>
      </c>
      <c r="K315" s="3" t="s">
        <v>1884</v>
      </c>
      <c r="L315" s="3" t="s">
        <v>1885</v>
      </c>
      <c r="M315" s="3" t="s">
        <v>1543</v>
      </c>
      <c r="N315" s="11" t="s">
        <v>1887</v>
      </c>
    </row>
    <row r="316" customFormat="false" ht="15" hidden="false" customHeight="false" outlineLevel="0" collapsed="false">
      <c r="A316" s="12" t="n">
        <v>312</v>
      </c>
      <c r="B316" s="13" t="n">
        <v>45859</v>
      </c>
      <c r="C316" s="12" t="s">
        <v>639</v>
      </c>
      <c r="D316" s="12" t="s">
        <v>192</v>
      </c>
      <c r="E316" s="14"/>
      <c r="F316" s="14" t="n">
        <v>1664180.39</v>
      </c>
      <c r="G316" s="14" t="n">
        <f aca="false">N(F316)-N(E316)</f>
        <v>1664180.39</v>
      </c>
      <c r="H316" s="12" t="n">
        <f aca="false">MONTH(B316)</f>
        <v>7</v>
      </c>
      <c r="I316" s="12" t="s">
        <v>1895</v>
      </c>
      <c r="J316" s="12" t="s">
        <v>1883</v>
      </c>
      <c r="K316" s="12" t="s">
        <v>1896</v>
      </c>
      <c r="L316" s="12" t="s">
        <v>1885</v>
      </c>
      <c r="M316" s="12" t="s">
        <v>1536</v>
      </c>
      <c r="N316" s="15" t="s">
        <v>1897</v>
      </c>
    </row>
    <row r="317" customFormat="false" ht="15" hidden="false" customHeight="false" outlineLevel="0" collapsed="false">
      <c r="A317" s="12" t="n">
        <v>313</v>
      </c>
      <c r="B317" s="13" t="n">
        <v>45859</v>
      </c>
      <c r="C317" s="12" t="s">
        <v>640</v>
      </c>
      <c r="D317" s="12" t="s">
        <v>641</v>
      </c>
      <c r="E317" s="14"/>
      <c r="F317" s="14" t="n">
        <v>736955.73</v>
      </c>
      <c r="G317" s="14" t="n">
        <f aca="false">N(F317)-N(E317)</f>
        <v>736955.73</v>
      </c>
      <c r="H317" s="12" t="n">
        <f aca="false">MONTH(B317)</f>
        <v>7</v>
      </c>
      <c r="I317" s="12" t="s">
        <v>1895</v>
      </c>
      <c r="J317" s="12" t="s">
        <v>1883</v>
      </c>
      <c r="K317" s="12" t="s">
        <v>1896</v>
      </c>
      <c r="L317" s="12" t="s">
        <v>1885</v>
      </c>
      <c r="M317" s="12" t="s">
        <v>1544</v>
      </c>
      <c r="N317" s="15" t="s">
        <v>1897</v>
      </c>
    </row>
    <row r="318" customFormat="false" ht="15" hidden="false" customHeight="false" outlineLevel="0" collapsed="false">
      <c r="A318" s="3" t="n">
        <v>314</v>
      </c>
      <c r="B318" s="8" t="n">
        <v>45859</v>
      </c>
      <c r="C318" s="3" t="s">
        <v>642</v>
      </c>
      <c r="D318" s="3" t="s">
        <v>643</v>
      </c>
      <c r="E318" s="9" t="n">
        <v>1179837.76</v>
      </c>
      <c r="F318" s="9"/>
      <c r="G318" s="9" t="n">
        <f aca="false">N(F318)-N(E318)</f>
        <v>-1179837.76</v>
      </c>
      <c r="H318" s="3" t="n">
        <f aca="false">MONTH(B318)</f>
        <v>7</v>
      </c>
      <c r="I318" s="3" t="s">
        <v>1904</v>
      </c>
      <c r="J318" s="3" t="s">
        <v>1883</v>
      </c>
      <c r="K318" s="3" t="s">
        <v>1884</v>
      </c>
      <c r="L318" s="3" t="s">
        <v>1885</v>
      </c>
      <c r="M318" s="3" t="s">
        <v>1545</v>
      </c>
      <c r="N318" s="11" t="s">
        <v>1905</v>
      </c>
    </row>
    <row r="319" customFormat="false" ht="15" hidden="false" customHeight="false" outlineLevel="0" collapsed="false">
      <c r="A319" s="3" t="n">
        <v>315</v>
      </c>
      <c r="B319" s="8" t="n">
        <v>45859</v>
      </c>
      <c r="C319" s="3" t="s">
        <v>644</v>
      </c>
      <c r="D319" s="3" t="s">
        <v>645</v>
      </c>
      <c r="E319" s="9" t="n">
        <v>329949.86</v>
      </c>
      <c r="F319" s="9"/>
      <c r="G319" s="9" t="n">
        <f aca="false">N(F319)-N(E319)</f>
        <v>-329949.86</v>
      </c>
      <c r="H319" s="3" t="n">
        <f aca="false">MONTH(B319)</f>
        <v>7</v>
      </c>
      <c r="I319" s="3" t="s">
        <v>1901</v>
      </c>
      <c r="J319" s="3" t="s">
        <v>1883</v>
      </c>
      <c r="K319" s="3" t="s">
        <v>1884</v>
      </c>
      <c r="L319" s="3" t="s">
        <v>1885</v>
      </c>
      <c r="M319" s="3" t="s">
        <v>1547</v>
      </c>
      <c r="N319" s="11" t="s">
        <v>1902</v>
      </c>
    </row>
    <row r="320" customFormat="false" ht="15" hidden="false" customHeight="false" outlineLevel="0" collapsed="false">
      <c r="A320" s="3" t="n">
        <v>316</v>
      </c>
      <c r="B320" s="8" t="n">
        <v>45859</v>
      </c>
      <c r="C320" s="3" t="s">
        <v>646</v>
      </c>
      <c r="D320" s="3" t="s">
        <v>647</v>
      </c>
      <c r="E320" s="9" t="n">
        <v>650000</v>
      </c>
      <c r="F320" s="9"/>
      <c r="G320" s="9" t="n">
        <f aca="false">N(F320)-N(E320)</f>
        <v>-650000</v>
      </c>
      <c r="H320" s="3" t="n">
        <f aca="false">MONTH(B320)</f>
        <v>7</v>
      </c>
      <c r="I320" s="3" t="s">
        <v>1931</v>
      </c>
      <c r="J320" s="3" t="s">
        <v>1883</v>
      </c>
      <c r="K320" s="3" t="s">
        <v>1884</v>
      </c>
      <c r="L320" s="3" t="s">
        <v>1885</v>
      </c>
      <c r="M320" s="3" t="s">
        <v>1532</v>
      </c>
      <c r="N320" s="11"/>
    </row>
    <row r="321" customFormat="false" ht="15" hidden="false" customHeight="false" outlineLevel="0" collapsed="false">
      <c r="A321" s="3" t="n">
        <v>317</v>
      </c>
      <c r="B321" s="8" t="n">
        <v>45860</v>
      </c>
      <c r="C321" s="3" t="s">
        <v>648</v>
      </c>
      <c r="D321" s="3" t="s">
        <v>649</v>
      </c>
      <c r="E321" s="9"/>
      <c r="F321" s="9" t="n">
        <v>4703300</v>
      </c>
      <c r="G321" s="9" t="n">
        <f aca="false">N(F321)-N(E321)</f>
        <v>4703300</v>
      </c>
      <c r="H321" s="3" t="n">
        <f aca="false">MONTH(B321)</f>
        <v>7</v>
      </c>
      <c r="I321" s="3" t="s">
        <v>1882</v>
      </c>
      <c r="J321" s="3" t="s">
        <v>1883</v>
      </c>
      <c r="K321" s="3" t="s">
        <v>1884</v>
      </c>
      <c r="L321" s="3" t="s">
        <v>1885</v>
      </c>
      <c r="M321" s="3" t="s">
        <v>1537</v>
      </c>
      <c r="N321" s="11"/>
    </row>
    <row r="322" customFormat="false" ht="15" hidden="false" customHeight="false" outlineLevel="0" collapsed="false">
      <c r="A322" s="3" t="n">
        <v>318</v>
      </c>
      <c r="B322" s="8" t="n">
        <v>45860</v>
      </c>
      <c r="C322" s="3" t="s">
        <v>650</v>
      </c>
      <c r="D322" s="3" t="s">
        <v>651</v>
      </c>
      <c r="E322" s="9" t="n">
        <v>176721.31</v>
      </c>
      <c r="F322" s="9"/>
      <c r="G322" s="9" t="n">
        <f aca="false">N(F322)-N(E322)</f>
        <v>-176721.31</v>
      </c>
      <c r="H322" s="3" t="n">
        <f aca="false">MONTH(B322)</f>
        <v>7</v>
      </c>
      <c r="I322" s="3" t="s">
        <v>1906</v>
      </c>
      <c r="J322" s="3" t="s">
        <v>1883</v>
      </c>
      <c r="K322" s="3" t="s">
        <v>1884</v>
      </c>
      <c r="L322" s="3" t="s">
        <v>1885</v>
      </c>
      <c r="M322" s="3" t="s">
        <v>1539</v>
      </c>
      <c r="N322" s="11"/>
    </row>
    <row r="323" customFormat="false" ht="15" hidden="false" customHeight="false" outlineLevel="0" collapsed="false">
      <c r="A323" s="3" t="n">
        <v>319</v>
      </c>
      <c r="B323" s="8" t="n">
        <v>45861</v>
      </c>
      <c r="C323" s="3" t="s">
        <v>652</v>
      </c>
      <c r="D323" s="3" t="s">
        <v>653</v>
      </c>
      <c r="E323" s="9"/>
      <c r="F323" s="9" t="n">
        <v>517732.58</v>
      </c>
      <c r="G323" s="9" t="n">
        <f aca="false">N(F323)-N(E323)</f>
        <v>517732.58</v>
      </c>
      <c r="H323" s="3" t="n">
        <f aca="false">MONTH(B323)</f>
        <v>7</v>
      </c>
      <c r="I323" s="3" t="s">
        <v>1891</v>
      </c>
      <c r="J323" s="3" t="s">
        <v>1883</v>
      </c>
      <c r="K323" s="3" t="s">
        <v>1884</v>
      </c>
      <c r="L323" s="3" t="s">
        <v>1885</v>
      </c>
      <c r="M323" s="3" t="s">
        <v>1550</v>
      </c>
      <c r="N323" s="11" t="s">
        <v>1892</v>
      </c>
    </row>
    <row r="324" customFormat="false" ht="15" hidden="false" customHeight="false" outlineLevel="0" collapsed="false">
      <c r="A324" s="3" t="n">
        <v>320</v>
      </c>
      <c r="B324" s="8" t="n">
        <v>45861</v>
      </c>
      <c r="C324" s="3" t="s">
        <v>654</v>
      </c>
      <c r="D324" s="3" t="s">
        <v>655</v>
      </c>
      <c r="E324" s="9" t="n">
        <v>239328.69</v>
      </c>
      <c r="F324" s="9"/>
      <c r="G324" s="9" t="n">
        <f aca="false">N(F324)-N(E324)</f>
        <v>-239328.69</v>
      </c>
      <c r="H324" s="3" t="n">
        <f aca="false">MONTH(B324)</f>
        <v>7</v>
      </c>
      <c r="I324" s="3" t="s">
        <v>1893</v>
      </c>
      <c r="J324" s="3" t="s">
        <v>1883</v>
      </c>
      <c r="K324" s="3" t="s">
        <v>1884</v>
      </c>
      <c r="L324" s="3" t="s">
        <v>1885</v>
      </c>
      <c r="M324" s="3" t="s">
        <v>1551</v>
      </c>
      <c r="N324" s="11" t="s">
        <v>1894</v>
      </c>
    </row>
    <row r="325" customFormat="false" ht="15" hidden="false" customHeight="false" outlineLevel="0" collapsed="false">
      <c r="A325" s="3" t="n">
        <v>321</v>
      </c>
      <c r="B325" s="8" t="n">
        <v>45861</v>
      </c>
      <c r="C325" s="3" t="s">
        <v>656</v>
      </c>
      <c r="D325" s="3" t="s">
        <v>657</v>
      </c>
      <c r="E325" s="9" t="n">
        <v>218344.88</v>
      </c>
      <c r="F325" s="9"/>
      <c r="G325" s="9" t="n">
        <f aca="false">N(F325)-N(E325)</f>
        <v>-218344.88</v>
      </c>
      <c r="H325" s="3" t="n">
        <f aca="false">MONTH(B325)</f>
        <v>7</v>
      </c>
      <c r="I325" s="3" t="s">
        <v>1901</v>
      </c>
      <c r="J325" s="3" t="s">
        <v>1883</v>
      </c>
      <c r="K325" s="3" t="s">
        <v>1884</v>
      </c>
      <c r="L325" s="3" t="s">
        <v>1885</v>
      </c>
      <c r="M325" s="3" t="s">
        <v>1552</v>
      </c>
      <c r="N325" s="11" t="s">
        <v>1902</v>
      </c>
    </row>
    <row r="326" customFormat="false" ht="15" hidden="false" customHeight="false" outlineLevel="0" collapsed="false">
      <c r="A326" s="3" t="n">
        <v>322</v>
      </c>
      <c r="B326" s="8" t="n">
        <v>45863</v>
      </c>
      <c r="C326" s="3" t="s">
        <v>658</v>
      </c>
      <c r="D326" s="3" t="s">
        <v>659</v>
      </c>
      <c r="E326" s="9" t="n">
        <v>2471900</v>
      </c>
      <c r="F326" s="9"/>
      <c r="G326" s="9" t="n">
        <f aca="false">N(F326)-N(E326)</f>
        <v>-2471900</v>
      </c>
      <c r="H326" s="3" t="n">
        <f aca="false">MONTH(B326)</f>
        <v>7</v>
      </c>
      <c r="I326" s="3" t="s">
        <v>1899</v>
      </c>
      <c r="J326" s="3" t="s">
        <v>1883</v>
      </c>
      <c r="K326" s="3" t="s">
        <v>1884</v>
      </c>
      <c r="L326" s="3" t="s">
        <v>1885</v>
      </c>
      <c r="M326" s="3" t="s">
        <v>1553</v>
      </c>
      <c r="N326" s="11"/>
    </row>
    <row r="327" customFormat="false" ht="15" hidden="false" customHeight="false" outlineLevel="0" collapsed="false">
      <c r="A327" s="3" t="n">
        <v>323</v>
      </c>
      <c r="B327" s="8" t="n">
        <v>45866</v>
      </c>
      <c r="C327" s="3" t="s">
        <v>660</v>
      </c>
      <c r="D327" s="3" t="s">
        <v>661</v>
      </c>
      <c r="E327" s="9"/>
      <c r="F327" s="9" t="n">
        <v>4369500</v>
      </c>
      <c r="G327" s="9" t="n">
        <f aca="false">N(F327)-N(E327)</f>
        <v>4369500</v>
      </c>
      <c r="H327" s="3" t="n">
        <f aca="false">MONTH(B327)</f>
        <v>7</v>
      </c>
      <c r="I327" s="3" t="s">
        <v>1882</v>
      </c>
      <c r="J327" s="3" t="s">
        <v>1883</v>
      </c>
      <c r="K327" s="3" t="s">
        <v>1884</v>
      </c>
      <c r="L327" s="3" t="s">
        <v>1885</v>
      </c>
      <c r="M327" s="3" t="s">
        <v>1555</v>
      </c>
      <c r="N327" s="11"/>
    </row>
    <row r="328" customFormat="false" ht="15" hidden="false" customHeight="false" outlineLevel="0" collapsed="false">
      <c r="A328" s="3" t="n">
        <v>324</v>
      </c>
      <c r="B328" s="8" t="n">
        <v>45866</v>
      </c>
      <c r="C328" s="3" t="s">
        <v>662</v>
      </c>
      <c r="D328" s="3" t="s">
        <v>663</v>
      </c>
      <c r="E328" s="9"/>
      <c r="F328" s="9" t="n">
        <v>722799.77</v>
      </c>
      <c r="G328" s="9" t="n">
        <f aca="false">N(F328)-N(E328)</f>
        <v>722799.77</v>
      </c>
      <c r="H328" s="3" t="n">
        <f aca="false">MONTH(B328)</f>
        <v>7</v>
      </c>
      <c r="I328" s="3" t="s">
        <v>1886</v>
      </c>
      <c r="J328" s="3" t="s">
        <v>1883</v>
      </c>
      <c r="K328" s="3" t="s">
        <v>1884</v>
      </c>
      <c r="L328" s="3" t="s">
        <v>1885</v>
      </c>
      <c r="M328" s="3" t="s">
        <v>1557</v>
      </c>
      <c r="N328" s="11" t="s">
        <v>1887</v>
      </c>
    </row>
    <row r="329" customFormat="false" ht="15" hidden="false" customHeight="false" outlineLevel="0" collapsed="false">
      <c r="A329" s="3" t="n">
        <v>325</v>
      </c>
      <c r="B329" s="8" t="n">
        <v>45866</v>
      </c>
      <c r="C329" s="3" t="s">
        <v>664</v>
      </c>
      <c r="D329" s="3" t="s">
        <v>665</v>
      </c>
      <c r="E329" s="9" t="n">
        <v>2205200</v>
      </c>
      <c r="F329" s="9"/>
      <c r="G329" s="9" t="n">
        <f aca="false">N(F329)-N(E329)</f>
        <v>-2205200</v>
      </c>
      <c r="H329" s="3" t="n">
        <f aca="false">MONTH(B329)</f>
        <v>7</v>
      </c>
      <c r="I329" s="3" t="s">
        <v>1899</v>
      </c>
      <c r="J329" s="3" t="s">
        <v>1883</v>
      </c>
      <c r="K329" s="3" t="s">
        <v>1884</v>
      </c>
      <c r="L329" s="3" t="s">
        <v>1885</v>
      </c>
      <c r="M329" s="3" t="s">
        <v>1548</v>
      </c>
      <c r="N329" s="11"/>
    </row>
    <row r="330" customFormat="false" ht="15" hidden="false" customHeight="false" outlineLevel="0" collapsed="false">
      <c r="A330" s="3" t="n">
        <v>326</v>
      </c>
      <c r="B330" s="8" t="n">
        <v>45866</v>
      </c>
      <c r="C330" s="3" t="s">
        <v>666</v>
      </c>
      <c r="D330" s="3" t="s">
        <v>667</v>
      </c>
      <c r="E330" s="9" t="n">
        <v>4085300</v>
      </c>
      <c r="F330" s="9"/>
      <c r="G330" s="9" t="n">
        <f aca="false">N(F330)-N(E330)</f>
        <v>-4085300</v>
      </c>
      <c r="H330" s="3" t="n">
        <f aca="false">MONTH(B330)</f>
        <v>7</v>
      </c>
      <c r="I330" s="3" t="s">
        <v>1910</v>
      </c>
      <c r="J330" s="3" t="s">
        <v>1883</v>
      </c>
      <c r="K330" s="3" t="s">
        <v>1884</v>
      </c>
      <c r="L330" s="3" t="s">
        <v>1885</v>
      </c>
      <c r="M330" s="3" t="s">
        <v>1558</v>
      </c>
      <c r="N330" s="11"/>
    </row>
    <row r="331" customFormat="false" ht="15" hidden="false" customHeight="false" outlineLevel="0" collapsed="false">
      <c r="A331" s="3" t="n">
        <v>327</v>
      </c>
      <c r="B331" s="8" t="n">
        <v>45866</v>
      </c>
      <c r="C331" s="3" t="s">
        <v>668</v>
      </c>
      <c r="D331" s="3" t="s">
        <v>669</v>
      </c>
      <c r="E331" s="9" t="n">
        <v>277377.81</v>
      </c>
      <c r="F331" s="9"/>
      <c r="G331" s="9" t="n">
        <f aca="false">N(F331)-N(E331)</f>
        <v>-277377.81</v>
      </c>
      <c r="H331" s="3" t="n">
        <f aca="false">MONTH(B331)</f>
        <v>7</v>
      </c>
      <c r="I331" s="3" t="s">
        <v>1893</v>
      </c>
      <c r="J331" s="3" t="s">
        <v>1883</v>
      </c>
      <c r="K331" s="3" t="s">
        <v>1884</v>
      </c>
      <c r="L331" s="3" t="s">
        <v>1885</v>
      </c>
      <c r="M331" s="3" t="s">
        <v>1554</v>
      </c>
      <c r="N331" s="11" t="s">
        <v>1894</v>
      </c>
    </row>
    <row r="332" customFormat="false" ht="15" hidden="false" customHeight="false" outlineLevel="0" collapsed="false">
      <c r="A332" s="3" t="n">
        <v>328</v>
      </c>
      <c r="B332" s="8" t="n">
        <v>45869</v>
      </c>
      <c r="C332" s="3" t="s">
        <v>670</v>
      </c>
      <c r="D332" s="3" t="s">
        <v>671</v>
      </c>
      <c r="E332" s="9" t="n">
        <v>4500</v>
      </c>
      <c r="F332" s="9"/>
      <c r="G332" s="9" t="n">
        <f aca="false">N(F332)-N(E332)</f>
        <v>-4500</v>
      </c>
      <c r="H332" s="3" t="n">
        <f aca="false">MONTH(B332)</f>
        <v>7</v>
      </c>
      <c r="I332" s="3" t="s">
        <v>1911</v>
      </c>
      <c r="J332" s="3" t="s">
        <v>1883</v>
      </c>
      <c r="K332" s="3" t="s">
        <v>1884</v>
      </c>
      <c r="L332" s="3" t="s">
        <v>1912</v>
      </c>
      <c r="M332" s="3" t="s">
        <v>1564</v>
      </c>
      <c r="N332" s="11" t="s">
        <v>1913</v>
      </c>
    </row>
    <row r="333" customFormat="false" ht="15" hidden="false" customHeight="false" outlineLevel="0" collapsed="false">
      <c r="A333" s="3" t="n">
        <v>329</v>
      </c>
      <c r="B333" s="8" t="n">
        <v>45869</v>
      </c>
      <c r="C333" s="3" t="s">
        <v>672</v>
      </c>
      <c r="D333" s="3" t="s">
        <v>136</v>
      </c>
      <c r="E333" s="9" t="n">
        <v>4565.5</v>
      </c>
      <c r="F333" s="9"/>
      <c r="G333" s="9" t="n">
        <f aca="false">N(F333)-N(E333)</f>
        <v>-4565.5</v>
      </c>
      <c r="H333" s="3" t="n">
        <f aca="false">MONTH(B333)</f>
        <v>7</v>
      </c>
      <c r="I333" s="3" t="s">
        <v>1911</v>
      </c>
      <c r="J333" s="3" t="s">
        <v>1883</v>
      </c>
      <c r="K333" s="3" t="s">
        <v>1884</v>
      </c>
      <c r="L333" s="3" t="s">
        <v>1912</v>
      </c>
      <c r="M333" s="3" t="s">
        <v>1564</v>
      </c>
      <c r="N333" s="11" t="s">
        <v>1913</v>
      </c>
    </row>
    <row r="334" customFormat="false" ht="15" hidden="false" customHeight="false" outlineLevel="0" collapsed="false">
      <c r="A334" s="3" t="n">
        <v>330</v>
      </c>
      <c r="B334" s="8" t="n">
        <v>45869</v>
      </c>
      <c r="C334" s="3" t="s">
        <v>673</v>
      </c>
      <c r="D334" s="3" t="s">
        <v>674</v>
      </c>
      <c r="E334" s="9" t="n">
        <v>500</v>
      </c>
      <c r="F334" s="9"/>
      <c r="G334" s="9" t="n">
        <f aca="false">N(F334)-N(E334)</f>
        <v>-500</v>
      </c>
      <c r="H334" s="3" t="n">
        <f aca="false">MONTH(B334)</f>
        <v>7</v>
      </c>
      <c r="I334" s="3" t="s">
        <v>1911</v>
      </c>
      <c r="J334" s="3" t="s">
        <v>1883</v>
      </c>
      <c r="K334" s="3" t="s">
        <v>1884</v>
      </c>
      <c r="L334" s="3" t="s">
        <v>1912</v>
      </c>
      <c r="M334" s="3" t="s">
        <v>1564</v>
      </c>
      <c r="N334" s="11" t="s">
        <v>1913</v>
      </c>
    </row>
    <row r="335" customFormat="false" ht="15" hidden="false" customHeight="false" outlineLevel="0" collapsed="false">
      <c r="A335" s="3" t="n">
        <v>331</v>
      </c>
      <c r="B335" s="8" t="n">
        <v>45869</v>
      </c>
      <c r="C335" s="3" t="s">
        <v>675</v>
      </c>
      <c r="D335" s="3" t="s">
        <v>140</v>
      </c>
      <c r="E335" s="9" t="n">
        <v>717.41</v>
      </c>
      <c r="F335" s="9"/>
      <c r="G335" s="9" t="n">
        <f aca="false">N(F335)-N(E335)</f>
        <v>-717.41</v>
      </c>
      <c r="H335" s="3" t="n">
        <f aca="false">MONTH(B335)</f>
        <v>7</v>
      </c>
      <c r="I335" s="3" t="s">
        <v>1911</v>
      </c>
      <c r="J335" s="3" t="s">
        <v>1883</v>
      </c>
      <c r="K335" s="3" t="s">
        <v>1884</v>
      </c>
      <c r="L335" s="3" t="s">
        <v>1912</v>
      </c>
      <c r="M335" s="3" t="s">
        <v>1564</v>
      </c>
      <c r="N335" s="11" t="s">
        <v>1913</v>
      </c>
    </row>
    <row r="336" customFormat="false" ht="15" hidden="false" customHeight="false" outlineLevel="0" collapsed="false">
      <c r="A336" s="3" t="n">
        <v>332</v>
      </c>
      <c r="B336" s="8" t="n">
        <v>45869</v>
      </c>
      <c r="C336" s="3" t="s">
        <v>676</v>
      </c>
      <c r="D336" s="3" t="s">
        <v>227</v>
      </c>
      <c r="E336" s="9" t="n">
        <v>900</v>
      </c>
      <c r="F336" s="9"/>
      <c r="G336" s="9" t="n">
        <f aca="false">N(F336)-N(E336)</f>
        <v>-900</v>
      </c>
      <c r="H336" s="3" t="n">
        <f aca="false">MONTH(B336)</f>
        <v>7</v>
      </c>
      <c r="I336" s="3" t="s">
        <v>1914</v>
      </c>
      <c r="J336" s="3" t="s">
        <v>1883</v>
      </c>
      <c r="K336" s="3" t="s">
        <v>1884</v>
      </c>
      <c r="L336" s="3" t="s">
        <v>1912</v>
      </c>
      <c r="M336" s="3" t="s">
        <v>1564</v>
      </c>
      <c r="N336" s="11" t="s">
        <v>1913</v>
      </c>
    </row>
    <row r="337" customFormat="false" ht="15" hidden="false" customHeight="false" outlineLevel="0" collapsed="false">
      <c r="A337" s="3" t="n">
        <v>333</v>
      </c>
      <c r="B337" s="8" t="n">
        <v>45873</v>
      </c>
      <c r="C337" s="3" t="s">
        <v>677</v>
      </c>
      <c r="D337" s="3" t="s">
        <v>678</v>
      </c>
      <c r="E337" s="9"/>
      <c r="F337" s="9" t="n">
        <v>3188800</v>
      </c>
      <c r="G337" s="9" t="n">
        <f aca="false">N(F337)-N(E337)</f>
        <v>3188800</v>
      </c>
      <c r="H337" s="3" t="n">
        <f aca="false">MONTH(B337)</f>
        <v>8</v>
      </c>
      <c r="I337" s="3" t="s">
        <v>1882</v>
      </c>
      <c r="J337" s="3" t="s">
        <v>1883</v>
      </c>
      <c r="K337" s="3" t="s">
        <v>1884</v>
      </c>
      <c r="L337" s="3" t="s">
        <v>1915</v>
      </c>
      <c r="M337" s="3" t="s">
        <v>1562</v>
      </c>
      <c r="N337" s="11"/>
    </row>
    <row r="338" customFormat="false" ht="15" hidden="false" customHeight="false" outlineLevel="0" collapsed="false">
      <c r="A338" s="3" t="n">
        <v>334</v>
      </c>
      <c r="B338" s="8" t="n">
        <v>45873</v>
      </c>
      <c r="C338" s="3" t="s">
        <v>679</v>
      </c>
      <c r="D338" s="3" t="s">
        <v>680</v>
      </c>
      <c r="E338" s="9" t="n">
        <v>2687600</v>
      </c>
      <c r="F338" s="9"/>
      <c r="G338" s="9" t="n">
        <f aca="false">N(F338)-N(E338)</f>
        <v>-2687600</v>
      </c>
      <c r="H338" s="3" t="n">
        <f aca="false">MONTH(B338)</f>
        <v>8</v>
      </c>
      <c r="I338" s="3" t="s">
        <v>1899</v>
      </c>
      <c r="J338" s="3" t="s">
        <v>1883</v>
      </c>
      <c r="K338" s="3" t="s">
        <v>1884</v>
      </c>
      <c r="L338" s="3" t="s">
        <v>1915</v>
      </c>
      <c r="M338" s="3" t="s">
        <v>1560</v>
      </c>
      <c r="N338" s="11"/>
    </row>
    <row r="339" customFormat="false" ht="15" hidden="false" customHeight="false" outlineLevel="0" collapsed="false">
      <c r="A339" s="12" t="n">
        <v>335</v>
      </c>
      <c r="B339" s="13" t="n">
        <v>45874</v>
      </c>
      <c r="C339" s="12" t="s">
        <v>681</v>
      </c>
      <c r="D339" s="12" t="s">
        <v>521</v>
      </c>
      <c r="E339" s="14" t="n">
        <v>2811700</v>
      </c>
      <c r="F339" s="14"/>
      <c r="G339" s="14" t="n">
        <f aca="false">N(F339)-N(E339)</f>
        <v>-2811700</v>
      </c>
      <c r="H339" s="12" t="n">
        <f aca="false">MONTH(B339)</f>
        <v>8</v>
      </c>
      <c r="I339" s="12" t="s">
        <v>1899</v>
      </c>
      <c r="J339" s="12" t="s">
        <v>1883</v>
      </c>
      <c r="K339" s="12" t="s">
        <v>1896</v>
      </c>
      <c r="L339" s="12" t="s">
        <v>1885</v>
      </c>
      <c r="M339" s="12" t="s">
        <v>1566</v>
      </c>
      <c r="N339" s="15" t="s">
        <v>1937</v>
      </c>
    </row>
    <row r="340" customFormat="false" ht="15" hidden="false" customHeight="false" outlineLevel="0" collapsed="false">
      <c r="A340" s="3" t="n">
        <v>336</v>
      </c>
      <c r="B340" s="8" t="n">
        <v>45874</v>
      </c>
      <c r="C340" s="3" t="s">
        <v>682</v>
      </c>
      <c r="D340" s="3" t="s">
        <v>683</v>
      </c>
      <c r="E340" s="9" t="n">
        <v>85000</v>
      </c>
      <c r="F340" s="9"/>
      <c r="G340" s="9" t="n">
        <f aca="false">N(F340)-N(E340)</f>
        <v>-85000</v>
      </c>
      <c r="H340" s="3" t="n">
        <f aca="false">MONTH(B340)</f>
        <v>8</v>
      </c>
      <c r="I340" s="3" t="s">
        <v>1888</v>
      </c>
      <c r="J340" s="3" t="s">
        <v>1883</v>
      </c>
      <c r="K340" s="3" t="s">
        <v>1884</v>
      </c>
      <c r="L340" s="3" t="s">
        <v>1885</v>
      </c>
      <c r="M340" s="3" t="s">
        <v>1567</v>
      </c>
      <c r="N340" s="11"/>
    </row>
    <row r="341" customFormat="false" ht="15" hidden="false" customHeight="false" outlineLevel="0" collapsed="false">
      <c r="A341" s="3" t="n">
        <v>337</v>
      </c>
      <c r="B341" s="8" t="n">
        <v>45874</v>
      </c>
      <c r="C341" s="3" t="s">
        <v>684</v>
      </c>
      <c r="D341" s="3" t="s">
        <v>685</v>
      </c>
      <c r="E341" s="9" t="n">
        <v>1380000</v>
      </c>
      <c r="F341" s="9"/>
      <c r="G341" s="9" t="n">
        <f aca="false">N(F341)-N(E341)</f>
        <v>-1380000</v>
      </c>
      <c r="H341" s="3" t="n">
        <f aca="false">MONTH(B341)</f>
        <v>8</v>
      </c>
      <c r="I341" s="3" t="s">
        <v>1899</v>
      </c>
      <c r="J341" s="3" t="s">
        <v>1883</v>
      </c>
      <c r="K341" s="3" t="s">
        <v>1884</v>
      </c>
      <c r="L341" s="3" t="s">
        <v>1885</v>
      </c>
      <c r="M341" s="3" t="s">
        <v>1568</v>
      </c>
      <c r="N341" s="11" t="s">
        <v>1960</v>
      </c>
    </row>
    <row r="342" customFormat="false" ht="15" hidden="false" customHeight="false" outlineLevel="0" collapsed="false">
      <c r="A342" s="3" t="n">
        <v>338</v>
      </c>
      <c r="B342" s="8" t="n">
        <v>45875</v>
      </c>
      <c r="C342" s="3" t="s">
        <v>686</v>
      </c>
      <c r="D342" s="3" t="s">
        <v>687</v>
      </c>
      <c r="E342" s="9"/>
      <c r="F342" s="9" t="n">
        <v>1640970.55</v>
      </c>
      <c r="G342" s="9" t="n">
        <f aca="false">N(F342)-N(E342)</f>
        <v>1640970.55</v>
      </c>
      <c r="H342" s="3" t="n">
        <f aca="false">MONTH(B342)</f>
        <v>8</v>
      </c>
      <c r="I342" s="3" t="s">
        <v>1886</v>
      </c>
      <c r="J342" s="3" t="s">
        <v>1883</v>
      </c>
      <c r="K342" s="3" t="s">
        <v>1884</v>
      </c>
      <c r="L342" s="3" t="s">
        <v>1885</v>
      </c>
      <c r="M342" s="3" t="s">
        <v>1572</v>
      </c>
      <c r="N342" s="11" t="s">
        <v>1887</v>
      </c>
    </row>
    <row r="343" customFormat="false" ht="15" hidden="false" customHeight="false" outlineLevel="0" collapsed="false">
      <c r="A343" s="12" t="n">
        <v>339</v>
      </c>
      <c r="B343" s="13" t="n">
        <v>45875</v>
      </c>
      <c r="C343" s="12" t="s">
        <v>688</v>
      </c>
      <c r="D343" s="12" t="s">
        <v>192</v>
      </c>
      <c r="E343" s="14"/>
      <c r="F343" s="14" t="n">
        <v>826628.04</v>
      </c>
      <c r="G343" s="14" t="n">
        <f aca="false">N(F343)-N(E343)</f>
        <v>826628.04</v>
      </c>
      <c r="H343" s="12" t="n">
        <f aca="false">MONTH(B343)</f>
        <v>8</v>
      </c>
      <c r="I343" s="12" t="s">
        <v>1895</v>
      </c>
      <c r="J343" s="12" t="s">
        <v>1883</v>
      </c>
      <c r="K343" s="12" t="s">
        <v>1896</v>
      </c>
      <c r="L343" s="12" t="s">
        <v>1885</v>
      </c>
      <c r="M343" s="12" t="s">
        <v>1573</v>
      </c>
      <c r="N343" s="15" t="s">
        <v>1897</v>
      </c>
    </row>
    <row r="344" customFormat="false" ht="15" hidden="false" customHeight="false" outlineLevel="0" collapsed="false">
      <c r="A344" s="3" t="n">
        <v>340</v>
      </c>
      <c r="B344" s="8" t="n">
        <v>45876</v>
      </c>
      <c r="C344" s="3" t="s">
        <v>689</v>
      </c>
      <c r="D344" s="3" t="s">
        <v>690</v>
      </c>
      <c r="E344" s="9"/>
      <c r="F344" s="9" t="n">
        <v>3915800</v>
      </c>
      <c r="G344" s="9" t="n">
        <f aca="false">N(F344)-N(E344)</f>
        <v>3915800</v>
      </c>
      <c r="H344" s="3" t="n">
        <f aca="false">MONTH(B344)</f>
        <v>8</v>
      </c>
      <c r="I344" s="3" t="s">
        <v>1882</v>
      </c>
      <c r="J344" s="3" t="s">
        <v>1883</v>
      </c>
      <c r="K344" s="3" t="s">
        <v>1884</v>
      </c>
      <c r="L344" s="3" t="s">
        <v>1885</v>
      </c>
      <c r="M344" s="3" t="s">
        <v>1574</v>
      </c>
      <c r="N344" s="11"/>
    </row>
    <row r="345" customFormat="false" ht="15" hidden="false" customHeight="false" outlineLevel="0" collapsed="false">
      <c r="A345" s="3" t="n">
        <v>341</v>
      </c>
      <c r="B345" s="8" t="n">
        <v>45876</v>
      </c>
      <c r="C345" s="3" t="s">
        <v>691</v>
      </c>
      <c r="D345" s="3" t="s">
        <v>692</v>
      </c>
      <c r="E345" s="9" t="n">
        <v>1800000</v>
      </c>
      <c r="F345" s="9"/>
      <c r="G345" s="9" t="n">
        <f aca="false">N(F345)-N(E345)</f>
        <v>-1800000</v>
      </c>
      <c r="H345" s="3" t="n">
        <f aca="false">MONTH(B345)</f>
        <v>8</v>
      </c>
      <c r="I345" s="3" t="s">
        <v>1955</v>
      </c>
      <c r="J345" s="3" t="s">
        <v>1883</v>
      </c>
      <c r="K345" s="3" t="s">
        <v>1884</v>
      </c>
      <c r="L345" s="3" t="s">
        <v>1885</v>
      </c>
      <c r="M345" s="3" t="s">
        <v>1576</v>
      </c>
      <c r="N345" s="11"/>
    </row>
    <row r="346" customFormat="false" ht="15" hidden="false" customHeight="false" outlineLevel="0" collapsed="false">
      <c r="A346" s="3" t="n">
        <v>342</v>
      </c>
      <c r="B346" s="8" t="n">
        <v>45880</v>
      </c>
      <c r="C346" s="3" t="s">
        <v>693</v>
      </c>
      <c r="D346" s="3" t="s">
        <v>694</v>
      </c>
      <c r="E346" s="9"/>
      <c r="F346" s="9" t="n">
        <v>2433000</v>
      </c>
      <c r="G346" s="9" t="n">
        <f aca="false">N(F346)-N(E346)</f>
        <v>2433000</v>
      </c>
      <c r="H346" s="3" t="n">
        <f aca="false">MONTH(B346)</f>
        <v>8</v>
      </c>
      <c r="I346" s="3" t="s">
        <v>1882</v>
      </c>
      <c r="J346" s="3" t="s">
        <v>1883</v>
      </c>
      <c r="K346" s="3" t="s">
        <v>1884</v>
      </c>
      <c r="L346" s="3" t="s">
        <v>1885</v>
      </c>
      <c r="M346" s="3" t="s">
        <v>1579</v>
      </c>
      <c r="N346" s="11"/>
    </row>
    <row r="347" customFormat="false" ht="15" hidden="false" customHeight="false" outlineLevel="0" collapsed="false">
      <c r="A347" s="3" t="n">
        <v>343</v>
      </c>
      <c r="B347" s="8" t="n">
        <v>45880</v>
      </c>
      <c r="C347" s="3" t="s">
        <v>695</v>
      </c>
      <c r="D347" s="3" t="s">
        <v>696</v>
      </c>
      <c r="E347" s="9"/>
      <c r="F347" s="9" t="n">
        <v>3115600</v>
      </c>
      <c r="G347" s="9" t="n">
        <f aca="false">N(F347)-N(E347)</f>
        <v>3115600</v>
      </c>
      <c r="H347" s="3" t="n">
        <f aca="false">MONTH(B347)</f>
        <v>8</v>
      </c>
      <c r="I347" s="3" t="s">
        <v>1882</v>
      </c>
      <c r="J347" s="3" t="s">
        <v>1883</v>
      </c>
      <c r="K347" s="3" t="s">
        <v>1884</v>
      </c>
      <c r="L347" s="3" t="s">
        <v>1885</v>
      </c>
      <c r="M347" s="3" t="s">
        <v>1581</v>
      </c>
      <c r="N347" s="11"/>
    </row>
    <row r="348" customFormat="false" ht="15" hidden="false" customHeight="false" outlineLevel="0" collapsed="false">
      <c r="A348" s="3" t="n">
        <v>344</v>
      </c>
      <c r="B348" s="8" t="n">
        <v>45880</v>
      </c>
      <c r="C348" s="3" t="s">
        <v>697</v>
      </c>
      <c r="D348" s="3" t="s">
        <v>698</v>
      </c>
      <c r="E348" s="9"/>
      <c r="F348" s="9" t="n">
        <v>4884200</v>
      </c>
      <c r="G348" s="9" t="n">
        <f aca="false">N(F348)-N(E348)</f>
        <v>4884200</v>
      </c>
      <c r="H348" s="3" t="n">
        <f aca="false">MONTH(B348)</f>
        <v>8</v>
      </c>
      <c r="I348" s="3" t="s">
        <v>1882</v>
      </c>
      <c r="J348" s="3" t="s">
        <v>1883</v>
      </c>
      <c r="K348" s="3" t="s">
        <v>1884</v>
      </c>
      <c r="L348" s="3" t="s">
        <v>1885</v>
      </c>
      <c r="M348" s="3" t="s">
        <v>1583</v>
      </c>
      <c r="N348" s="11"/>
    </row>
    <row r="349" customFormat="false" ht="15" hidden="false" customHeight="false" outlineLevel="0" collapsed="false">
      <c r="A349" s="3" t="n">
        <v>345</v>
      </c>
      <c r="B349" s="8" t="n">
        <v>45880</v>
      </c>
      <c r="C349" s="3" t="s">
        <v>699</v>
      </c>
      <c r="D349" s="3" t="s">
        <v>700</v>
      </c>
      <c r="E349" s="9"/>
      <c r="F349" s="9" t="n">
        <v>784367.46</v>
      </c>
      <c r="G349" s="9" t="n">
        <f aca="false">N(F349)-N(E349)</f>
        <v>784367.46</v>
      </c>
      <c r="H349" s="3" t="n">
        <f aca="false">MONTH(B349)</f>
        <v>8</v>
      </c>
      <c r="I349" s="3" t="s">
        <v>1891</v>
      </c>
      <c r="J349" s="3" t="s">
        <v>1883</v>
      </c>
      <c r="K349" s="3" t="s">
        <v>1884</v>
      </c>
      <c r="L349" s="3" t="s">
        <v>1885</v>
      </c>
      <c r="M349" s="3" t="s">
        <v>1585</v>
      </c>
      <c r="N349" s="11" t="s">
        <v>1892</v>
      </c>
    </row>
    <row r="350" customFormat="false" ht="15" hidden="false" customHeight="false" outlineLevel="0" collapsed="false">
      <c r="A350" s="3" t="n">
        <v>346</v>
      </c>
      <c r="B350" s="8" t="n">
        <v>45880</v>
      </c>
      <c r="C350" s="3" t="s">
        <v>701</v>
      </c>
      <c r="D350" s="3" t="s">
        <v>702</v>
      </c>
      <c r="E350" s="9" t="n">
        <v>487060</v>
      </c>
      <c r="F350" s="9"/>
      <c r="G350" s="9" t="n">
        <f aca="false">N(F350)-N(E350)</f>
        <v>-487060</v>
      </c>
      <c r="H350" s="3" t="n">
        <f aca="false">MONTH(B350)</f>
        <v>8</v>
      </c>
      <c r="I350" s="3" t="s">
        <v>1898</v>
      </c>
      <c r="J350" s="3" t="s">
        <v>1883</v>
      </c>
      <c r="K350" s="3" t="s">
        <v>1884</v>
      </c>
      <c r="L350" s="3" t="s">
        <v>1885</v>
      </c>
      <c r="M350" s="3" t="s">
        <v>1586</v>
      </c>
      <c r="N350" s="11"/>
    </row>
    <row r="351" customFormat="false" ht="15" hidden="false" customHeight="false" outlineLevel="0" collapsed="false">
      <c r="A351" s="3" t="n">
        <v>347</v>
      </c>
      <c r="B351" s="8" t="n">
        <v>45880</v>
      </c>
      <c r="C351" s="3" t="s">
        <v>703</v>
      </c>
      <c r="D351" s="3" t="s">
        <v>704</v>
      </c>
      <c r="E351" s="9" t="n">
        <v>273440.86</v>
      </c>
      <c r="F351" s="9"/>
      <c r="G351" s="9" t="n">
        <f aca="false">N(F351)-N(E351)</f>
        <v>-273440.86</v>
      </c>
      <c r="H351" s="3" t="n">
        <f aca="false">MONTH(B351)</f>
        <v>8</v>
      </c>
      <c r="I351" s="3" t="s">
        <v>1893</v>
      </c>
      <c r="J351" s="3" t="s">
        <v>1883</v>
      </c>
      <c r="K351" s="3" t="s">
        <v>1884</v>
      </c>
      <c r="L351" s="3" t="s">
        <v>1885</v>
      </c>
      <c r="M351" s="3" t="s">
        <v>1578</v>
      </c>
      <c r="N351" s="11" t="s">
        <v>1894</v>
      </c>
    </row>
    <row r="352" customFormat="false" ht="15" hidden="false" customHeight="false" outlineLevel="0" collapsed="false">
      <c r="A352" s="3" t="n">
        <v>348</v>
      </c>
      <c r="B352" s="8" t="n">
        <v>45880</v>
      </c>
      <c r="C352" s="3" t="s">
        <v>705</v>
      </c>
      <c r="D352" s="3" t="s">
        <v>706</v>
      </c>
      <c r="E352" s="9" t="n">
        <v>1057421.95</v>
      </c>
      <c r="F352" s="9"/>
      <c r="G352" s="9" t="n">
        <f aca="false">N(F352)-N(E352)</f>
        <v>-1057421.95</v>
      </c>
      <c r="H352" s="3" t="n">
        <f aca="false">MONTH(B352)</f>
        <v>8</v>
      </c>
      <c r="I352" s="3" t="s">
        <v>1944</v>
      </c>
      <c r="J352" s="3" t="s">
        <v>1920</v>
      </c>
      <c r="K352" s="3" t="s">
        <v>1884</v>
      </c>
      <c r="L352" s="3" t="s">
        <v>1885</v>
      </c>
      <c r="M352" s="3" t="s">
        <v>1588</v>
      </c>
      <c r="N352" s="11" t="s">
        <v>1945</v>
      </c>
    </row>
    <row r="353" customFormat="false" ht="15" hidden="false" customHeight="false" outlineLevel="0" collapsed="false">
      <c r="A353" s="3" t="n">
        <v>349</v>
      </c>
      <c r="B353" s="8" t="n">
        <v>45881</v>
      </c>
      <c r="C353" s="3" t="s">
        <v>707</v>
      </c>
      <c r="D353" s="3" t="s">
        <v>708</v>
      </c>
      <c r="E353" s="9"/>
      <c r="F353" s="9" t="n">
        <v>2257100</v>
      </c>
      <c r="G353" s="9" t="n">
        <f aca="false">N(F353)-N(E353)</f>
        <v>2257100</v>
      </c>
      <c r="H353" s="3" t="n">
        <f aca="false">MONTH(B353)</f>
        <v>8</v>
      </c>
      <c r="I353" s="3" t="s">
        <v>1882</v>
      </c>
      <c r="J353" s="3" t="s">
        <v>1883</v>
      </c>
      <c r="K353" s="3" t="s">
        <v>1884</v>
      </c>
      <c r="L353" s="3" t="s">
        <v>1885</v>
      </c>
      <c r="M353" s="3" t="s">
        <v>1590</v>
      </c>
      <c r="N353" s="11"/>
    </row>
    <row r="354" customFormat="false" ht="15" hidden="false" customHeight="false" outlineLevel="0" collapsed="false">
      <c r="A354" s="3" t="n">
        <v>350</v>
      </c>
      <c r="B354" s="8" t="n">
        <v>45881</v>
      </c>
      <c r="C354" s="3" t="s">
        <v>709</v>
      </c>
      <c r="D354" s="3" t="s">
        <v>710</v>
      </c>
      <c r="E354" s="9" t="n">
        <v>61927.5</v>
      </c>
      <c r="F354" s="9"/>
      <c r="G354" s="9" t="n">
        <f aca="false">N(F354)-N(E354)</f>
        <v>-61927.5</v>
      </c>
      <c r="H354" s="3" t="n">
        <f aca="false">MONTH(B354)</f>
        <v>8</v>
      </c>
      <c r="I354" s="3" t="s">
        <v>1900</v>
      </c>
      <c r="J354" s="3" t="s">
        <v>1883</v>
      </c>
      <c r="K354" s="3" t="s">
        <v>1884</v>
      </c>
      <c r="L354" s="3" t="s">
        <v>1885</v>
      </c>
      <c r="M354" s="3" t="s">
        <v>1592</v>
      </c>
      <c r="N354" s="11"/>
    </row>
    <row r="355" customFormat="false" ht="15" hidden="false" customHeight="false" outlineLevel="0" collapsed="false">
      <c r="A355" s="3" t="n">
        <v>351</v>
      </c>
      <c r="B355" s="8" t="n">
        <v>45882</v>
      </c>
      <c r="C355" s="3" t="s">
        <v>711</v>
      </c>
      <c r="D355" s="3" t="s">
        <v>712</v>
      </c>
      <c r="E355" s="9"/>
      <c r="F355" s="9" t="n">
        <v>2001168.47</v>
      </c>
      <c r="G355" s="9" t="n">
        <f aca="false">N(F355)-N(E355)</f>
        <v>2001168.47</v>
      </c>
      <c r="H355" s="3" t="n">
        <f aca="false">MONTH(B355)</f>
        <v>8</v>
      </c>
      <c r="I355" s="3" t="s">
        <v>1886</v>
      </c>
      <c r="J355" s="3" t="s">
        <v>1883</v>
      </c>
      <c r="K355" s="3" t="s">
        <v>1884</v>
      </c>
      <c r="L355" s="3" t="s">
        <v>1885</v>
      </c>
      <c r="M355" s="3" t="s">
        <v>1593</v>
      </c>
      <c r="N355" s="11" t="s">
        <v>1887</v>
      </c>
    </row>
    <row r="356" customFormat="false" ht="15" hidden="false" customHeight="false" outlineLevel="0" collapsed="false">
      <c r="A356" s="3" t="n">
        <v>352</v>
      </c>
      <c r="B356" s="8" t="n">
        <v>45883</v>
      </c>
      <c r="C356" s="3" t="s">
        <v>713</v>
      </c>
      <c r="D356" s="3" t="s">
        <v>714</v>
      </c>
      <c r="E356" s="9" t="n">
        <v>197674.07</v>
      </c>
      <c r="F356" s="9"/>
      <c r="G356" s="9" t="n">
        <f aca="false">N(F356)-N(E356)</f>
        <v>-197674.07</v>
      </c>
      <c r="H356" s="3" t="n">
        <f aca="false">MONTH(B356)</f>
        <v>8</v>
      </c>
      <c r="I356" s="3" t="s">
        <v>1901</v>
      </c>
      <c r="J356" s="3" t="s">
        <v>1883</v>
      </c>
      <c r="K356" s="3" t="s">
        <v>1884</v>
      </c>
      <c r="L356" s="3" t="s">
        <v>1885</v>
      </c>
      <c r="M356" s="3" t="s">
        <v>1594</v>
      </c>
      <c r="N356" s="11" t="s">
        <v>1902</v>
      </c>
    </row>
    <row r="357" customFormat="false" ht="15" hidden="false" customHeight="false" outlineLevel="0" collapsed="false">
      <c r="A357" s="3" t="n">
        <v>353</v>
      </c>
      <c r="B357" s="8" t="n">
        <v>45883</v>
      </c>
      <c r="C357" s="3" t="s">
        <v>715</v>
      </c>
      <c r="D357" s="3" t="s">
        <v>716</v>
      </c>
      <c r="E357" s="9" t="n">
        <v>5400000</v>
      </c>
      <c r="F357" s="9"/>
      <c r="G357" s="9" t="n">
        <f aca="false">N(F357)-N(E357)</f>
        <v>-5400000</v>
      </c>
      <c r="H357" s="3" t="n">
        <f aca="false">MONTH(B357)</f>
        <v>8</v>
      </c>
      <c r="I357" s="3" t="s">
        <v>1899</v>
      </c>
      <c r="J357" s="3" t="s">
        <v>1883</v>
      </c>
      <c r="K357" s="3" t="s">
        <v>1884</v>
      </c>
      <c r="L357" s="3" t="s">
        <v>1961</v>
      </c>
      <c r="M357" s="3" t="s">
        <v>1962</v>
      </c>
      <c r="N357" s="11" t="s">
        <v>1963</v>
      </c>
    </row>
    <row r="358" customFormat="false" ht="15" hidden="false" customHeight="false" outlineLevel="0" collapsed="false">
      <c r="A358" s="12" t="n">
        <v>354</v>
      </c>
      <c r="B358" s="13" t="n">
        <v>45884</v>
      </c>
      <c r="C358" s="12" t="s">
        <v>717</v>
      </c>
      <c r="D358" s="12" t="s">
        <v>718</v>
      </c>
      <c r="E358" s="14"/>
      <c r="F358" s="14" t="n">
        <v>1195611.06</v>
      </c>
      <c r="G358" s="14" t="n">
        <f aca="false">N(F358)-N(E358)</f>
        <v>1195611.06</v>
      </c>
      <c r="H358" s="12" t="n">
        <f aca="false">MONTH(B358)</f>
        <v>8</v>
      </c>
      <c r="I358" s="12" t="s">
        <v>1895</v>
      </c>
      <c r="J358" s="12" t="s">
        <v>1883</v>
      </c>
      <c r="K358" s="12" t="s">
        <v>1896</v>
      </c>
      <c r="L358" s="12" t="s">
        <v>1885</v>
      </c>
      <c r="M358" s="12" t="s">
        <v>1600</v>
      </c>
      <c r="N358" s="15" t="s">
        <v>1897</v>
      </c>
    </row>
    <row r="359" customFormat="false" ht="15" hidden="false" customHeight="false" outlineLevel="0" collapsed="false">
      <c r="A359" s="3" t="n">
        <v>355</v>
      </c>
      <c r="B359" s="8" t="n">
        <v>45884</v>
      </c>
      <c r="C359" s="3" t="s">
        <v>719</v>
      </c>
      <c r="D359" s="3" t="s">
        <v>720</v>
      </c>
      <c r="E359" s="9" t="n">
        <v>894600</v>
      </c>
      <c r="F359" s="9"/>
      <c r="G359" s="9" t="n">
        <f aca="false">N(F359)-N(E359)</f>
        <v>-894600</v>
      </c>
      <c r="H359" s="3" t="n">
        <f aca="false">MONTH(B359)</f>
        <v>8</v>
      </c>
      <c r="I359" s="3" t="s">
        <v>1903</v>
      </c>
      <c r="J359" s="3" t="s">
        <v>1883</v>
      </c>
      <c r="K359" s="3" t="s">
        <v>1884</v>
      </c>
      <c r="L359" s="3" t="s">
        <v>1885</v>
      </c>
      <c r="M359" s="3" t="s">
        <v>1601</v>
      </c>
      <c r="N359" s="11"/>
    </row>
    <row r="360" customFormat="false" ht="15" hidden="false" customHeight="false" outlineLevel="0" collapsed="false">
      <c r="A360" s="3" t="n">
        <v>356</v>
      </c>
      <c r="B360" s="8" t="n">
        <v>45884</v>
      </c>
      <c r="C360" s="3" t="s">
        <v>721</v>
      </c>
      <c r="D360" s="3" t="s">
        <v>722</v>
      </c>
      <c r="E360" s="9" t="n">
        <v>351500</v>
      </c>
      <c r="F360" s="9"/>
      <c r="G360" s="9" t="n">
        <f aca="false">N(F360)-N(E360)</f>
        <v>-351500</v>
      </c>
      <c r="H360" s="3" t="n">
        <f aca="false">MONTH(B360)</f>
        <v>8</v>
      </c>
      <c r="I360" s="3" t="s">
        <v>1888</v>
      </c>
      <c r="J360" s="3" t="s">
        <v>1883</v>
      </c>
      <c r="K360" s="3" t="s">
        <v>1884</v>
      </c>
      <c r="L360" s="3" t="s">
        <v>1885</v>
      </c>
      <c r="M360" s="3" t="s">
        <v>1599</v>
      </c>
      <c r="N360" s="11"/>
    </row>
    <row r="361" customFormat="false" ht="15" hidden="false" customHeight="false" outlineLevel="0" collapsed="false">
      <c r="A361" s="3" t="n">
        <v>357</v>
      </c>
      <c r="B361" s="8" t="n">
        <v>45887</v>
      </c>
      <c r="C361" s="3" t="s">
        <v>723</v>
      </c>
      <c r="D361" s="3" t="s">
        <v>724</v>
      </c>
      <c r="E361" s="9"/>
      <c r="F361" s="9" t="n">
        <v>3375700</v>
      </c>
      <c r="G361" s="9" t="n">
        <f aca="false">N(F361)-N(E361)</f>
        <v>3375700</v>
      </c>
      <c r="H361" s="3" t="n">
        <f aca="false">MONTH(B361)</f>
        <v>8</v>
      </c>
      <c r="I361" s="3" t="s">
        <v>1882</v>
      </c>
      <c r="J361" s="3" t="s">
        <v>1883</v>
      </c>
      <c r="K361" s="3" t="s">
        <v>1884</v>
      </c>
      <c r="L361" s="3" t="s">
        <v>1885</v>
      </c>
      <c r="M361" s="3" t="s">
        <v>1606</v>
      </c>
      <c r="N361" s="11"/>
    </row>
    <row r="362" customFormat="false" ht="15" hidden="false" customHeight="false" outlineLevel="0" collapsed="false">
      <c r="A362" s="3" t="n">
        <v>358</v>
      </c>
      <c r="B362" s="8" t="n">
        <v>45887</v>
      </c>
      <c r="C362" s="3" t="s">
        <v>725</v>
      </c>
      <c r="D362" s="3" t="s">
        <v>726</v>
      </c>
      <c r="E362" s="9" t="n">
        <v>2846100</v>
      </c>
      <c r="F362" s="9"/>
      <c r="G362" s="9" t="n">
        <f aca="false">N(F362)-N(E362)</f>
        <v>-2846100</v>
      </c>
      <c r="H362" s="3" t="n">
        <f aca="false">MONTH(B362)</f>
        <v>8</v>
      </c>
      <c r="I362" s="3" t="s">
        <v>1899</v>
      </c>
      <c r="J362" s="3" t="s">
        <v>1883</v>
      </c>
      <c r="K362" s="3" t="s">
        <v>1884</v>
      </c>
      <c r="L362" s="3" t="s">
        <v>1885</v>
      </c>
      <c r="M362" s="3" t="s">
        <v>1608</v>
      </c>
      <c r="N362" s="11"/>
    </row>
    <row r="363" customFormat="false" ht="15" hidden="false" customHeight="false" outlineLevel="0" collapsed="false">
      <c r="A363" s="3" t="n">
        <v>359</v>
      </c>
      <c r="B363" s="8" t="n">
        <v>45887</v>
      </c>
      <c r="C363" s="3" t="s">
        <v>727</v>
      </c>
      <c r="D363" s="3" t="s">
        <v>728</v>
      </c>
      <c r="E363" s="9" t="n">
        <v>219314.57</v>
      </c>
      <c r="F363" s="9"/>
      <c r="G363" s="9" t="n">
        <f aca="false">N(F363)-N(E363)</f>
        <v>-219314.57</v>
      </c>
      <c r="H363" s="3" t="n">
        <f aca="false">MONTH(B363)</f>
        <v>8</v>
      </c>
      <c r="I363" s="3" t="s">
        <v>1893</v>
      </c>
      <c r="J363" s="3" t="s">
        <v>1883</v>
      </c>
      <c r="K363" s="3" t="s">
        <v>1884</v>
      </c>
      <c r="L363" s="3" t="s">
        <v>1885</v>
      </c>
      <c r="M363" s="3" t="s">
        <v>1603</v>
      </c>
      <c r="N363" s="11" t="s">
        <v>1894</v>
      </c>
    </row>
    <row r="364" customFormat="false" ht="15" hidden="false" customHeight="false" outlineLevel="0" collapsed="false">
      <c r="A364" s="3" t="n">
        <v>360</v>
      </c>
      <c r="B364" s="8" t="n">
        <v>45887</v>
      </c>
      <c r="C364" s="3" t="s">
        <v>729</v>
      </c>
      <c r="D364" s="3" t="s">
        <v>730</v>
      </c>
      <c r="E364" s="9" t="n">
        <v>182869.39</v>
      </c>
      <c r="F364" s="9"/>
      <c r="G364" s="9" t="n">
        <f aca="false">N(F364)-N(E364)</f>
        <v>-182869.39</v>
      </c>
      <c r="H364" s="3" t="n">
        <f aca="false">MONTH(B364)</f>
        <v>8</v>
      </c>
      <c r="I364" s="3" t="s">
        <v>1893</v>
      </c>
      <c r="J364" s="3" t="s">
        <v>1883</v>
      </c>
      <c r="K364" s="3" t="s">
        <v>1884</v>
      </c>
      <c r="L364" s="3" t="s">
        <v>1885</v>
      </c>
      <c r="M364" s="3" t="s">
        <v>1604</v>
      </c>
      <c r="N364" s="11" t="s">
        <v>1894</v>
      </c>
    </row>
    <row r="365" customFormat="false" ht="15" hidden="false" customHeight="false" outlineLevel="0" collapsed="false">
      <c r="A365" s="12" t="n">
        <v>361</v>
      </c>
      <c r="B365" s="13" t="n">
        <v>45887</v>
      </c>
      <c r="C365" s="12" t="s">
        <v>731</v>
      </c>
      <c r="D365" s="12" t="s">
        <v>732</v>
      </c>
      <c r="E365" s="14" t="n">
        <v>187300</v>
      </c>
      <c r="F365" s="14"/>
      <c r="G365" s="14" t="n">
        <f aca="false">N(F365)-N(E365)</f>
        <v>-187300</v>
      </c>
      <c r="H365" s="12" t="n">
        <f aca="false">MONTH(B365)</f>
        <v>8</v>
      </c>
      <c r="I365" s="12" t="s">
        <v>1933</v>
      </c>
      <c r="J365" s="12" t="s">
        <v>1883</v>
      </c>
      <c r="K365" s="12" t="s">
        <v>1896</v>
      </c>
      <c r="L365" s="12" t="s">
        <v>1885</v>
      </c>
      <c r="M365" s="12" t="s">
        <v>1605</v>
      </c>
      <c r="N365" s="15" t="s">
        <v>1934</v>
      </c>
    </row>
    <row r="366" customFormat="false" ht="15" hidden="false" customHeight="false" outlineLevel="0" collapsed="false">
      <c r="A366" s="3" t="n">
        <v>362</v>
      </c>
      <c r="B366" s="8" t="n">
        <v>45887</v>
      </c>
      <c r="C366" s="3" t="s">
        <v>733</v>
      </c>
      <c r="D366" s="3" t="s">
        <v>734</v>
      </c>
      <c r="E366" s="9"/>
      <c r="F366" s="9" t="n">
        <v>2100000</v>
      </c>
      <c r="G366" s="9" t="n">
        <f aca="false">N(F366)-N(E366)</f>
        <v>2100000</v>
      </c>
      <c r="H366" s="3" t="n">
        <f aca="false">MONTH(B366)</f>
        <v>8</v>
      </c>
      <c r="I366" s="3" t="s">
        <v>1964</v>
      </c>
      <c r="J366" s="3" t="s">
        <v>1883</v>
      </c>
      <c r="K366" s="3" t="s">
        <v>1884</v>
      </c>
      <c r="L366" s="3" t="s">
        <v>1885</v>
      </c>
      <c r="M366" s="3" t="s">
        <v>1609</v>
      </c>
      <c r="N366" s="11" t="s">
        <v>1965</v>
      </c>
    </row>
    <row r="367" customFormat="false" ht="15" hidden="false" customHeight="false" outlineLevel="0" collapsed="false">
      <c r="A367" s="3" t="n">
        <v>363</v>
      </c>
      <c r="B367" s="8" t="n">
        <v>45888</v>
      </c>
      <c r="C367" s="3" t="s">
        <v>735</v>
      </c>
      <c r="D367" s="3" t="s">
        <v>736</v>
      </c>
      <c r="E367" s="9"/>
      <c r="F367" s="9" t="n">
        <v>2011800</v>
      </c>
      <c r="G367" s="9" t="n">
        <f aca="false">N(F367)-N(E367)</f>
        <v>2011800</v>
      </c>
      <c r="H367" s="3" t="n">
        <f aca="false">MONTH(B367)</f>
        <v>8</v>
      </c>
      <c r="I367" s="3" t="s">
        <v>1882</v>
      </c>
      <c r="J367" s="3" t="s">
        <v>1883</v>
      </c>
      <c r="K367" s="3" t="s">
        <v>1884</v>
      </c>
      <c r="L367" s="3" t="s">
        <v>1885</v>
      </c>
      <c r="M367" s="3" t="s">
        <v>1611</v>
      </c>
      <c r="N367" s="11"/>
    </row>
    <row r="368" customFormat="false" ht="15" hidden="false" customHeight="false" outlineLevel="0" collapsed="false">
      <c r="A368" s="3" t="n">
        <v>364</v>
      </c>
      <c r="B368" s="8" t="n">
        <v>45889</v>
      </c>
      <c r="C368" s="3" t="s">
        <v>737</v>
      </c>
      <c r="D368" s="3" t="s">
        <v>738</v>
      </c>
      <c r="E368" s="9"/>
      <c r="F368" s="9" t="n">
        <v>1181972.94</v>
      </c>
      <c r="G368" s="9" t="n">
        <f aca="false">N(F368)-N(E368)</f>
        <v>1181972.94</v>
      </c>
      <c r="H368" s="3" t="n">
        <f aca="false">MONTH(B368)</f>
        <v>8</v>
      </c>
      <c r="I368" s="3" t="s">
        <v>1886</v>
      </c>
      <c r="J368" s="3" t="s">
        <v>1883</v>
      </c>
      <c r="K368" s="3" t="s">
        <v>1884</v>
      </c>
      <c r="L368" s="3" t="s">
        <v>1885</v>
      </c>
      <c r="M368" s="3" t="s">
        <v>1615</v>
      </c>
      <c r="N368" s="11" t="s">
        <v>1887</v>
      </c>
    </row>
    <row r="369" customFormat="false" ht="15" hidden="false" customHeight="false" outlineLevel="0" collapsed="false">
      <c r="A369" s="3" t="n">
        <v>365</v>
      </c>
      <c r="B369" s="8" t="n">
        <v>45890</v>
      </c>
      <c r="C369" s="3" t="s">
        <v>739</v>
      </c>
      <c r="D369" s="3" t="s">
        <v>740</v>
      </c>
      <c r="E369" s="9" t="n">
        <v>1984900</v>
      </c>
      <c r="F369" s="9"/>
      <c r="G369" s="9" t="n">
        <f aca="false">N(F369)-N(E369)</f>
        <v>-1984900</v>
      </c>
      <c r="H369" s="3" t="n">
        <f aca="false">MONTH(B369)</f>
        <v>8</v>
      </c>
      <c r="I369" s="3" t="s">
        <v>1899</v>
      </c>
      <c r="J369" s="3" t="s">
        <v>1883</v>
      </c>
      <c r="K369" s="3" t="s">
        <v>1884</v>
      </c>
      <c r="L369" s="3" t="s">
        <v>1885</v>
      </c>
      <c r="M369" s="3" t="s">
        <v>1613</v>
      </c>
      <c r="N369" s="11"/>
    </row>
    <row r="370" customFormat="false" ht="15" hidden="false" customHeight="false" outlineLevel="0" collapsed="false">
      <c r="A370" s="3" t="n">
        <v>366</v>
      </c>
      <c r="B370" s="8" t="n">
        <v>45890</v>
      </c>
      <c r="C370" s="3" t="s">
        <v>741</v>
      </c>
      <c r="D370" s="3" t="s">
        <v>742</v>
      </c>
      <c r="E370" s="9" t="n">
        <v>1520778.82</v>
      </c>
      <c r="F370" s="9"/>
      <c r="G370" s="9" t="n">
        <f aca="false">N(F370)-N(E370)</f>
        <v>-1520778.82</v>
      </c>
      <c r="H370" s="3" t="n">
        <f aca="false">MONTH(B370)</f>
        <v>8</v>
      </c>
      <c r="I370" s="3" t="s">
        <v>1904</v>
      </c>
      <c r="J370" s="3" t="s">
        <v>1883</v>
      </c>
      <c r="K370" s="3" t="s">
        <v>1884</v>
      </c>
      <c r="L370" s="3" t="s">
        <v>1885</v>
      </c>
      <c r="M370" s="3" t="s">
        <v>1616</v>
      </c>
      <c r="N370" s="11" t="s">
        <v>1905</v>
      </c>
    </row>
    <row r="371" customFormat="false" ht="15" hidden="false" customHeight="false" outlineLevel="0" collapsed="false">
      <c r="A371" s="3" t="n">
        <v>367</v>
      </c>
      <c r="B371" s="8" t="n">
        <v>45890</v>
      </c>
      <c r="C371" s="3" t="s">
        <v>743</v>
      </c>
      <c r="D371" s="3" t="s">
        <v>744</v>
      </c>
      <c r="E371" s="9" t="n">
        <v>185304.71</v>
      </c>
      <c r="F371" s="9"/>
      <c r="G371" s="9" t="n">
        <f aca="false">N(F371)-N(E371)</f>
        <v>-185304.71</v>
      </c>
      <c r="H371" s="3" t="n">
        <f aca="false">MONTH(B371)</f>
        <v>8</v>
      </c>
      <c r="I371" s="3" t="s">
        <v>1893</v>
      </c>
      <c r="J371" s="3" t="s">
        <v>1883</v>
      </c>
      <c r="K371" s="3" t="s">
        <v>1884</v>
      </c>
      <c r="L371" s="3" t="s">
        <v>1885</v>
      </c>
      <c r="M371" s="3" t="s">
        <v>1618</v>
      </c>
      <c r="N371" s="11" t="s">
        <v>1894</v>
      </c>
    </row>
    <row r="372" customFormat="false" ht="15" hidden="false" customHeight="false" outlineLevel="0" collapsed="false">
      <c r="A372" s="3" t="n">
        <v>368</v>
      </c>
      <c r="B372" s="8" t="n">
        <v>45890</v>
      </c>
      <c r="C372" s="3" t="s">
        <v>745</v>
      </c>
      <c r="D372" s="3" t="s">
        <v>746</v>
      </c>
      <c r="E372" s="9" t="n">
        <v>236246.46</v>
      </c>
      <c r="F372" s="9"/>
      <c r="G372" s="9" t="n">
        <f aca="false">N(F372)-N(E372)</f>
        <v>-236246.46</v>
      </c>
      <c r="H372" s="3" t="n">
        <f aca="false">MONTH(B372)</f>
        <v>8</v>
      </c>
      <c r="I372" s="3" t="s">
        <v>1901</v>
      </c>
      <c r="J372" s="3" t="s">
        <v>1883</v>
      </c>
      <c r="K372" s="3" t="s">
        <v>1884</v>
      </c>
      <c r="L372" s="3" t="s">
        <v>1885</v>
      </c>
      <c r="M372" s="3" t="s">
        <v>1619</v>
      </c>
      <c r="N372" s="11" t="s">
        <v>1902</v>
      </c>
    </row>
    <row r="373" customFormat="false" ht="15" hidden="false" customHeight="false" outlineLevel="0" collapsed="false">
      <c r="A373" s="12" t="n">
        <v>369</v>
      </c>
      <c r="B373" s="13" t="n">
        <v>45890</v>
      </c>
      <c r="C373" s="12" t="s">
        <v>747</v>
      </c>
      <c r="D373" s="12" t="s">
        <v>748</v>
      </c>
      <c r="E373" s="14" t="n">
        <v>575000</v>
      </c>
      <c r="F373" s="14"/>
      <c r="G373" s="14" t="n">
        <f aca="false">N(F373)-N(E373)</f>
        <v>-575000</v>
      </c>
      <c r="H373" s="12" t="n">
        <f aca="false">MONTH(B373)</f>
        <v>8</v>
      </c>
      <c r="I373" s="12" t="s">
        <v>1908</v>
      </c>
      <c r="J373" s="12" t="s">
        <v>1883</v>
      </c>
      <c r="K373" s="12" t="s">
        <v>1896</v>
      </c>
      <c r="L373" s="12" t="s">
        <v>1885</v>
      </c>
      <c r="M373" s="12" t="s">
        <v>1620</v>
      </c>
      <c r="N373" s="15" t="s">
        <v>1909</v>
      </c>
    </row>
    <row r="374" customFormat="false" ht="15" hidden="false" customHeight="false" outlineLevel="0" collapsed="false">
      <c r="A374" s="12" t="n">
        <v>370</v>
      </c>
      <c r="B374" s="13" t="n">
        <v>45891</v>
      </c>
      <c r="C374" s="12" t="s">
        <v>749</v>
      </c>
      <c r="D374" s="12" t="s">
        <v>750</v>
      </c>
      <c r="E374" s="14"/>
      <c r="F374" s="14" t="n">
        <v>793147.03</v>
      </c>
      <c r="G374" s="14" t="n">
        <f aca="false">N(F374)-N(E374)</f>
        <v>793147.03</v>
      </c>
      <c r="H374" s="12" t="n">
        <f aca="false">MONTH(B374)</f>
        <v>8</v>
      </c>
      <c r="I374" s="12" t="s">
        <v>1895</v>
      </c>
      <c r="J374" s="12" t="s">
        <v>1883</v>
      </c>
      <c r="K374" s="12" t="s">
        <v>1896</v>
      </c>
      <c r="L374" s="12" t="s">
        <v>1885</v>
      </c>
      <c r="M374" s="12" t="s">
        <v>1622</v>
      </c>
      <c r="N374" s="15" t="s">
        <v>1897</v>
      </c>
    </row>
    <row r="375" customFormat="false" ht="15" hidden="false" customHeight="false" outlineLevel="0" collapsed="false">
      <c r="A375" s="3" t="n">
        <v>371</v>
      </c>
      <c r="B375" s="8" t="n">
        <v>45891</v>
      </c>
      <c r="C375" s="3" t="s">
        <v>751</v>
      </c>
      <c r="D375" s="3" t="s">
        <v>752</v>
      </c>
      <c r="E375" s="9" t="n">
        <v>207947.11</v>
      </c>
      <c r="F375" s="9"/>
      <c r="G375" s="9" t="n">
        <f aca="false">N(F375)-N(E375)</f>
        <v>-207947.11</v>
      </c>
      <c r="H375" s="3" t="n">
        <f aca="false">MONTH(B375)</f>
        <v>8</v>
      </c>
      <c r="I375" s="3" t="s">
        <v>1906</v>
      </c>
      <c r="J375" s="3" t="s">
        <v>1883</v>
      </c>
      <c r="K375" s="3" t="s">
        <v>1884</v>
      </c>
      <c r="L375" s="3" t="s">
        <v>1885</v>
      </c>
      <c r="M375" s="3" t="s">
        <v>1621</v>
      </c>
      <c r="N375" s="11"/>
    </row>
    <row r="376" customFormat="false" ht="15" hidden="false" customHeight="false" outlineLevel="0" collapsed="false">
      <c r="A376" s="16" t="n">
        <v>372</v>
      </c>
      <c r="B376" s="17" t="n">
        <v>45891</v>
      </c>
      <c r="C376" s="16" t="s">
        <v>753</v>
      </c>
      <c r="D376" s="16" t="s">
        <v>754</v>
      </c>
      <c r="E376" s="18" t="n">
        <v>2100000</v>
      </c>
      <c r="F376" s="18"/>
      <c r="G376" s="18" t="n">
        <f aca="false">N(F376)-N(E376)</f>
        <v>-2100000</v>
      </c>
      <c r="H376" s="16" t="n">
        <f aca="false">MONTH(B376)</f>
        <v>8</v>
      </c>
      <c r="I376" s="16" t="s">
        <v>1966</v>
      </c>
      <c r="J376" s="16" t="s">
        <v>1883</v>
      </c>
      <c r="K376" s="16" t="s">
        <v>1921</v>
      </c>
      <c r="L376" s="16" t="s">
        <v>1939</v>
      </c>
      <c r="M376" s="16" t="s">
        <v>1940</v>
      </c>
      <c r="N376" s="19" t="s">
        <v>1967</v>
      </c>
    </row>
    <row r="377" customFormat="false" ht="15" hidden="false" customHeight="false" outlineLevel="0" collapsed="false">
      <c r="A377" s="3" t="n">
        <v>373</v>
      </c>
      <c r="B377" s="8" t="n">
        <v>45891</v>
      </c>
      <c r="C377" s="3" t="s">
        <v>755</v>
      </c>
      <c r="D377" s="3" t="s">
        <v>756</v>
      </c>
      <c r="E377" s="9" t="n">
        <v>5375</v>
      </c>
      <c r="F377" s="9"/>
      <c r="G377" s="9" t="n">
        <f aca="false">N(F377)-N(E377)</f>
        <v>-5375</v>
      </c>
      <c r="H377" s="3" t="n">
        <f aca="false">MONTH(B377)</f>
        <v>8</v>
      </c>
      <c r="I377" s="3" t="s">
        <v>1911</v>
      </c>
      <c r="J377" s="3" t="s">
        <v>1883</v>
      </c>
      <c r="K377" s="3" t="s">
        <v>1884</v>
      </c>
      <c r="L377" s="3" t="s">
        <v>1939</v>
      </c>
      <c r="M377" s="3" t="s">
        <v>1940</v>
      </c>
      <c r="N377" s="11"/>
    </row>
    <row r="378" customFormat="false" ht="15" hidden="false" customHeight="false" outlineLevel="0" collapsed="false">
      <c r="A378" s="3" t="n">
        <v>374</v>
      </c>
      <c r="B378" s="8" t="n">
        <v>45894</v>
      </c>
      <c r="C378" s="3" t="s">
        <v>757</v>
      </c>
      <c r="D378" s="3" t="s">
        <v>758</v>
      </c>
      <c r="E378" s="9"/>
      <c r="F378" s="9" t="n">
        <v>731033.99</v>
      </c>
      <c r="G378" s="9" t="n">
        <f aca="false">N(F378)-N(E378)</f>
        <v>731033.99</v>
      </c>
      <c r="H378" s="3" t="n">
        <f aca="false">MONTH(B378)</f>
        <v>8</v>
      </c>
      <c r="I378" s="3" t="s">
        <v>1891</v>
      </c>
      <c r="J378" s="3" t="s">
        <v>1883</v>
      </c>
      <c r="K378" s="3" t="s">
        <v>1884</v>
      </c>
      <c r="L378" s="3" t="s">
        <v>1885</v>
      </c>
      <c r="M378" s="3" t="s">
        <v>1623</v>
      </c>
      <c r="N378" s="11" t="s">
        <v>1892</v>
      </c>
    </row>
    <row r="379" customFormat="false" ht="15" hidden="false" customHeight="false" outlineLevel="0" collapsed="false">
      <c r="A379" s="3" t="n">
        <v>375</v>
      </c>
      <c r="B379" s="8" t="n">
        <v>45894</v>
      </c>
      <c r="C379" s="3" t="s">
        <v>759</v>
      </c>
      <c r="D379" s="3" t="s">
        <v>760</v>
      </c>
      <c r="E379" s="9" t="n">
        <v>312300</v>
      </c>
      <c r="F379" s="9"/>
      <c r="G379" s="9" t="n">
        <f aca="false">N(F379)-N(E379)</f>
        <v>-312300</v>
      </c>
      <c r="H379" s="3" t="n">
        <f aca="false">MONTH(B379)</f>
        <v>8</v>
      </c>
      <c r="I379" s="3" t="s">
        <v>1888</v>
      </c>
      <c r="J379" s="3" t="s">
        <v>1883</v>
      </c>
      <c r="K379" s="3" t="s">
        <v>1884</v>
      </c>
      <c r="L379" s="3" t="s">
        <v>1885</v>
      </c>
      <c r="M379" s="3" t="s">
        <v>1624</v>
      </c>
      <c r="N379" s="11"/>
    </row>
    <row r="380" customFormat="false" ht="15" hidden="false" customHeight="false" outlineLevel="0" collapsed="false">
      <c r="A380" s="3" t="n">
        <v>376</v>
      </c>
      <c r="B380" s="8" t="n">
        <v>45896</v>
      </c>
      <c r="C380" s="3" t="s">
        <v>761</v>
      </c>
      <c r="D380" s="3" t="s">
        <v>762</v>
      </c>
      <c r="E380" s="9"/>
      <c r="F380" s="9" t="n">
        <v>1124304.87</v>
      </c>
      <c r="G380" s="9" t="n">
        <f aca="false">N(F380)-N(E380)</f>
        <v>1124304.87</v>
      </c>
      <c r="H380" s="3" t="n">
        <f aca="false">MONTH(B380)</f>
        <v>8</v>
      </c>
      <c r="I380" s="3" t="s">
        <v>1886</v>
      </c>
      <c r="J380" s="3" t="s">
        <v>1883</v>
      </c>
      <c r="K380" s="3" t="s">
        <v>1884</v>
      </c>
      <c r="L380" s="3" t="s">
        <v>1885</v>
      </c>
      <c r="M380" s="3" t="s">
        <v>1627</v>
      </c>
      <c r="N380" s="11" t="s">
        <v>1887</v>
      </c>
    </row>
    <row r="381" customFormat="false" ht="15" hidden="false" customHeight="false" outlineLevel="0" collapsed="false">
      <c r="A381" s="3" t="n">
        <v>377</v>
      </c>
      <c r="B381" s="8" t="n">
        <v>45896</v>
      </c>
      <c r="C381" s="3" t="s">
        <v>763</v>
      </c>
      <c r="D381" s="3" t="s">
        <v>764</v>
      </c>
      <c r="E381" s="9" t="n">
        <v>4085300</v>
      </c>
      <c r="F381" s="9"/>
      <c r="G381" s="9" t="n">
        <f aca="false">N(F381)-N(E381)</f>
        <v>-4085300</v>
      </c>
      <c r="H381" s="3" t="n">
        <f aca="false">MONTH(B381)</f>
        <v>8</v>
      </c>
      <c r="I381" s="3" t="s">
        <v>1910</v>
      </c>
      <c r="J381" s="3" t="s">
        <v>1883</v>
      </c>
      <c r="K381" s="3" t="s">
        <v>1884</v>
      </c>
      <c r="L381" s="3" t="s">
        <v>1885</v>
      </c>
      <c r="M381" s="3" t="s">
        <v>1628</v>
      </c>
      <c r="N381" s="11"/>
    </row>
    <row r="382" customFormat="false" ht="15" hidden="false" customHeight="false" outlineLevel="0" collapsed="false">
      <c r="A382" s="16" t="n">
        <v>378</v>
      </c>
      <c r="B382" s="17" t="n">
        <v>45896</v>
      </c>
      <c r="C382" s="16" t="s">
        <v>765</v>
      </c>
      <c r="D382" s="16" t="s">
        <v>766</v>
      </c>
      <c r="E382" s="18" t="n">
        <v>1350000</v>
      </c>
      <c r="F382" s="18"/>
      <c r="G382" s="18" t="n">
        <f aca="false">N(F382)-N(E382)</f>
        <v>-1350000</v>
      </c>
      <c r="H382" s="16" t="n">
        <f aca="false">MONTH(B382)</f>
        <v>8</v>
      </c>
      <c r="I382" s="16" t="s">
        <v>1923</v>
      </c>
      <c r="J382" s="16" t="s">
        <v>1920</v>
      </c>
      <c r="K382" s="16" t="s">
        <v>1921</v>
      </c>
      <c r="L382" s="16" t="s">
        <v>1885</v>
      </c>
      <c r="M382" s="16" t="s">
        <v>1625</v>
      </c>
      <c r="N382" s="19" t="s">
        <v>1968</v>
      </c>
    </row>
    <row r="383" customFormat="false" ht="15" hidden="false" customHeight="false" outlineLevel="0" collapsed="false">
      <c r="A383" s="3" t="n">
        <v>379</v>
      </c>
      <c r="B383" s="8" t="n">
        <v>45898</v>
      </c>
      <c r="C383" s="3" t="s">
        <v>767</v>
      </c>
      <c r="D383" s="3" t="s">
        <v>768</v>
      </c>
      <c r="E383" s="9" t="n">
        <v>4500</v>
      </c>
      <c r="F383" s="9"/>
      <c r="G383" s="9" t="n">
        <f aca="false">N(F383)-N(E383)</f>
        <v>-4500</v>
      </c>
      <c r="H383" s="3" t="n">
        <f aca="false">MONTH(B383)</f>
        <v>8</v>
      </c>
      <c r="I383" s="3" t="s">
        <v>1911</v>
      </c>
      <c r="J383" s="3" t="s">
        <v>1883</v>
      </c>
      <c r="K383" s="3" t="s">
        <v>1884</v>
      </c>
      <c r="L383" s="3" t="s">
        <v>1912</v>
      </c>
      <c r="M383" s="3" t="s">
        <v>1630</v>
      </c>
      <c r="N383" s="11" t="s">
        <v>1913</v>
      </c>
    </row>
    <row r="384" customFormat="false" ht="15" hidden="false" customHeight="false" outlineLevel="0" collapsed="false">
      <c r="A384" s="3" t="n">
        <v>380</v>
      </c>
      <c r="B384" s="8" t="n">
        <v>45898</v>
      </c>
      <c r="C384" s="3" t="s">
        <v>769</v>
      </c>
      <c r="D384" s="3" t="s">
        <v>136</v>
      </c>
      <c r="E384" s="9" t="n">
        <v>4644.53</v>
      </c>
      <c r="F384" s="9"/>
      <c r="G384" s="9" t="n">
        <f aca="false">N(F384)-N(E384)</f>
        <v>-4644.53</v>
      </c>
      <c r="H384" s="3" t="n">
        <f aca="false">MONTH(B384)</f>
        <v>8</v>
      </c>
      <c r="I384" s="3" t="s">
        <v>1911</v>
      </c>
      <c r="J384" s="3" t="s">
        <v>1883</v>
      </c>
      <c r="K384" s="3" t="s">
        <v>1884</v>
      </c>
      <c r="L384" s="3" t="s">
        <v>1912</v>
      </c>
      <c r="M384" s="3" t="s">
        <v>1630</v>
      </c>
      <c r="N384" s="11" t="s">
        <v>1913</v>
      </c>
    </row>
    <row r="385" customFormat="false" ht="15" hidden="false" customHeight="false" outlineLevel="0" collapsed="false">
      <c r="A385" s="3" t="n">
        <v>381</v>
      </c>
      <c r="B385" s="8" t="n">
        <v>45898</v>
      </c>
      <c r="C385" s="3" t="s">
        <v>770</v>
      </c>
      <c r="D385" s="3" t="s">
        <v>320</v>
      </c>
      <c r="E385" s="9" t="n">
        <v>350</v>
      </c>
      <c r="F385" s="9"/>
      <c r="G385" s="9" t="n">
        <f aca="false">N(F385)-N(E385)</f>
        <v>-350</v>
      </c>
      <c r="H385" s="3" t="n">
        <f aca="false">MONTH(B385)</f>
        <v>8</v>
      </c>
      <c r="I385" s="3" t="s">
        <v>1911</v>
      </c>
      <c r="J385" s="3" t="s">
        <v>1883</v>
      </c>
      <c r="K385" s="3" t="s">
        <v>1884</v>
      </c>
      <c r="L385" s="3" t="s">
        <v>1912</v>
      </c>
      <c r="M385" s="3" t="s">
        <v>1630</v>
      </c>
      <c r="N385" s="11" t="s">
        <v>1913</v>
      </c>
    </row>
    <row r="386" customFormat="false" ht="15" hidden="false" customHeight="false" outlineLevel="0" collapsed="false">
      <c r="A386" s="3" t="n">
        <v>382</v>
      </c>
      <c r="B386" s="8" t="n">
        <v>45898</v>
      </c>
      <c r="C386" s="3" t="s">
        <v>771</v>
      </c>
      <c r="D386" s="3" t="s">
        <v>140</v>
      </c>
      <c r="E386" s="9" t="n">
        <v>712.09</v>
      </c>
      <c r="F386" s="9"/>
      <c r="G386" s="9" t="n">
        <f aca="false">N(F386)-N(E386)</f>
        <v>-712.09</v>
      </c>
      <c r="H386" s="3" t="n">
        <f aca="false">MONTH(B386)</f>
        <v>8</v>
      </c>
      <c r="I386" s="3" t="s">
        <v>1911</v>
      </c>
      <c r="J386" s="3" t="s">
        <v>1883</v>
      </c>
      <c r="K386" s="3" t="s">
        <v>1884</v>
      </c>
      <c r="L386" s="3" t="s">
        <v>1912</v>
      </c>
      <c r="M386" s="3" t="s">
        <v>1630</v>
      </c>
      <c r="N386" s="11" t="s">
        <v>1913</v>
      </c>
    </row>
    <row r="387" customFormat="false" ht="15" hidden="false" customHeight="false" outlineLevel="0" collapsed="false">
      <c r="A387" s="3" t="n">
        <v>383</v>
      </c>
      <c r="B387" s="8" t="n">
        <v>45898</v>
      </c>
      <c r="C387" s="3" t="s">
        <v>772</v>
      </c>
      <c r="D387" s="3" t="s">
        <v>227</v>
      </c>
      <c r="E387" s="9" t="n">
        <v>900</v>
      </c>
      <c r="F387" s="9"/>
      <c r="G387" s="9" t="n">
        <f aca="false">N(F387)-N(E387)</f>
        <v>-900</v>
      </c>
      <c r="H387" s="3" t="n">
        <f aca="false">MONTH(B387)</f>
        <v>8</v>
      </c>
      <c r="I387" s="3" t="s">
        <v>1914</v>
      </c>
      <c r="J387" s="3" t="s">
        <v>1883</v>
      </c>
      <c r="K387" s="3" t="s">
        <v>1884</v>
      </c>
      <c r="L387" s="3" t="s">
        <v>1912</v>
      </c>
      <c r="M387" s="3" t="s">
        <v>1630</v>
      </c>
      <c r="N387" s="11" t="s">
        <v>1913</v>
      </c>
    </row>
    <row r="388" customFormat="false" ht="15" hidden="false" customHeight="false" outlineLevel="0" collapsed="false">
      <c r="A388" s="12" t="n">
        <v>384</v>
      </c>
      <c r="B388" s="13" t="n">
        <v>45904</v>
      </c>
      <c r="C388" s="12" t="s">
        <v>773</v>
      </c>
      <c r="D388" s="12" t="s">
        <v>774</v>
      </c>
      <c r="E388" s="14"/>
      <c r="F388" s="14" t="n">
        <v>3300000</v>
      </c>
      <c r="G388" s="14" t="n">
        <f aca="false">N(F388)-N(E388)</f>
        <v>3300000</v>
      </c>
      <c r="H388" s="12" t="n">
        <f aca="false">MONTH(B388)</f>
        <v>9</v>
      </c>
      <c r="I388" s="12" t="s">
        <v>1925</v>
      </c>
      <c r="J388" s="12" t="s">
        <v>1926</v>
      </c>
      <c r="K388" s="12" t="s">
        <v>1896</v>
      </c>
      <c r="L388" s="12" t="s">
        <v>1885</v>
      </c>
      <c r="M388" s="12" t="s">
        <v>1632</v>
      </c>
      <c r="N388" s="15" t="s">
        <v>1969</v>
      </c>
    </row>
    <row r="389" customFormat="false" ht="15" hidden="false" customHeight="false" outlineLevel="0" collapsed="false">
      <c r="A389" s="3" t="n">
        <v>385</v>
      </c>
      <c r="B389" s="8" t="n">
        <v>45905</v>
      </c>
      <c r="C389" s="3" t="s">
        <v>775</v>
      </c>
      <c r="D389" s="3" t="s">
        <v>776</v>
      </c>
      <c r="E389" s="9"/>
      <c r="F389" s="9" t="n">
        <v>3466700</v>
      </c>
      <c r="G389" s="9" t="n">
        <f aca="false">N(F389)-N(E389)</f>
        <v>3466700</v>
      </c>
      <c r="H389" s="3" t="n">
        <f aca="false">MONTH(B389)</f>
        <v>9</v>
      </c>
      <c r="I389" s="3" t="s">
        <v>1882</v>
      </c>
      <c r="J389" s="3" t="s">
        <v>1883</v>
      </c>
      <c r="K389" s="3" t="s">
        <v>1884</v>
      </c>
      <c r="L389" s="3" t="s">
        <v>1885</v>
      </c>
      <c r="M389" s="3" t="s">
        <v>1635</v>
      </c>
      <c r="N389" s="11"/>
    </row>
    <row r="390" customFormat="false" ht="15" hidden="false" customHeight="false" outlineLevel="0" collapsed="false">
      <c r="A390" s="3" t="n">
        <v>386</v>
      </c>
      <c r="B390" s="8" t="n">
        <v>45905</v>
      </c>
      <c r="C390" s="3" t="s">
        <v>777</v>
      </c>
      <c r="D390" s="3" t="s">
        <v>778</v>
      </c>
      <c r="E390" s="9" t="n">
        <v>85000</v>
      </c>
      <c r="F390" s="9"/>
      <c r="G390" s="9" t="n">
        <f aca="false">N(F390)-N(E390)</f>
        <v>-85000</v>
      </c>
      <c r="H390" s="3" t="n">
        <f aca="false">MONTH(B390)</f>
        <v>9</v>
      </c>
      <c r="I390" s="3" t="s">
        <v>1888</v>
      </c>
      <c r="J390" s="3" t="s">
        <v>1883</v>
      </c>
      <c r="K390" s="3" t="s">
        <v>1884</v>
      </c>
      <c r="L390" s="3" t="s">
        <v>1885</v>
      </c>
      <c r="M390" s="3" t="s">
        <v>1637</v>
      </c>
      <c r="N390" s="11"/>
    </row>
    <row r="391" customFormat="false" ht="15" hidden="false" customHeight="false" outlineLevel="0" collapsed="false">
      <c r="A391" s="3" t="n">
        <v>387</v>
      </c>
      <c r="B391" s="8" t="n">
        <v>45905</v>
      </c>
      <c r="C391" s="3" t="s">
        <v>779</v>
      </c>
      <c r="D391" s="3" t="s">
        <v>780</v>
      </c>
      <c r="E391" s="9" t="n">
        <v>255759.9</v>
      </c>
      <c r="F391" s="9"/>
      <c r="G391" s="9" t="n">
        <f aca="false">N(F391)-N(E391)</f>
        <v>-255759.9</v>
      </c>
      <c r="H391" s="3" t="n">
        <f aca="false">MONTH(B391)</f>
        <v>9</v>
      </c>
      <c r="I391" s="3" t="s">
        <v>1901</v>
      </c>
      <c r="J391" s="3" t="s">
        <v>1883</v>
      </c>
      <c r="K391" s="3" t="s">
        <v>1884</v>
      </c>
      <c r="L391" s="3" t="s">
        <v>1885</v>
      </c>
      <c r="M391" s="3" t="s">
        <v>1633</v>
      </c>
      <c r="N391" s="11" t="s">
        <v>1902</v>
      </c>
    </row>
    <row r="392" customFormat="false" ht="15" hidden="false" customHeight="false" outlineLevel="0" collapsed="false">
      <c r="A392" s="3" t="n">
        <v>388</v>
      </c>
      <c r="B392" s="8" t="n">
        <v>45908</v>
      </c>
      <c r="C392" s="3" t="s">
        <v>781</v>
      </c>
      <c r="D392" s="3" t="s">
        <v>782</v>
      </c>
      <c r="E392" s="9"/>
      <c r="F392" s="9" t="n">
        <v>1774049.93</v>
      </c>
      <c r="G392" s="9" t="n">
        <f aca="false">N(F392)-N(E392)</f>
        <v>1774049.93</v>
      </c>
      <c r="H392" s="3" t="n">
        <f aca="false">MONTH(B392)</f>
        <v>9</v>
      </c>
      <c r="I392" s="3" t="s">
        <v>1886</v>
      </c>
      <c r="J392" s="3" t="s">
        <v>1883</v>
      </c>
      <c r="K392" s="3" t="s">
        <v>1884</v>
      </c>
      <c r="L392" s="3" t="s">
        <v>1885</v>
      </c>
      <c r="M392" s="3" t="s">
        <v>1639</v>
      </c>
      <c r="N392" s="11" t="s">
        <v>1887</v>
      </c>
    </row>
    <row r="393" customFormat="false" ht="15" hidden="false" customHeight="false" outlineLevel="0" collapsed="false">
      <c r="A393" s="12" t="n">
        <v>389</v>
      </c>
      <c r="B393" s="13" t="n">
        <v>45908</v>
      </c>
      <c r="C393" s="12" t="s">
        <v>783</v>
      </c>
      <c r="D393" s="12" t="s">
        <v>192</v>
      </c>
      <c r="E393" s="14"/>
      <c r="F393" s="14" t="n">
        <v>1489824.69</v>
      </c>
      <c r="G393" s="14" t="n">
        <f aca="false">N(F393)-N(E393)</f>
        <v>1489824.69</v>
      </c>
      <c r="H393" s="12" t="n">
        <f aca="false">MONTH(B393)</f>
        <v>9</v>
      </c>
      <c r="I393" s="12" t="s">
        <v>1895</v>
      </c>
      <c r="J393" s="12" t="s">
        <v>1883</v>
      </c>
      <c r="K393" s="12" t="s">
        <v>1896</v>
      </c>
      <c r="L393" s="12" t="s">
        <v>1885</v>
      </c>
      <c r="M393" s="12" t="s">
        <v>1638</v>
      </c>
      <c r="N393" s="15" t="s">
        <v>1897</v>
      </c>
    </row>
    <row r="394" customFormat="false" ht="15" hidden="false" customHeight="false" outlineLevel="0" collapsed="false">
      <c r="A394" s="3" t="n">
        <v>390</v>
      </c>
      <c r="B394" s="8" t="n">
        <v>45908</v>
      </c>
      <c r="C394" s="3" t="s">
        <v>784</v>
      </c>
      <c r="D394" s="3" t="s">
        <v>785</v>
      </c>
      <c r="E394" s="9" t="n">
        <v>1812800</v>
      </c>
      <c r="F394" s="9"/>
      <c r="G394" s="9" t="n">
        <f aca="false">N(F394)-N(E394)</f>
        <v>-1812800</v>
      </c>
      <c r="H394" s="3" t="n">
        <f aca="false">MONTH(B394)</f>
        <v>9</v>
      </c>
      <c r="I394" s="3" t="s">
        <v>1899</v>
      </c>
      <c r="J394" s="3" t="s">
        <v>1883</v>
      </c>
      <c r="K394" s="3" t="s">
        <v>1884</v>
      </c>
      <c r="L394" s="3" t="s">
        <v>1885</v>
      </c>
      <c r="M394" s="3" t="s">
        <v>1634</v>
      </c>
      <c r="N394" s="11"/>
    </row>
    <row r="395" customFormat="false" ht="15" hidden="false" customHeight="false" outlineLevel="0" collapsed="false">
      <c r="A395" s="3" t="n">
        <v>391</v>
      </c>
      <c r="B395" s="8" t="n">
        <v>45908</v>
      </c>
      <c r="C395" s="3" t="s">
        <v>786</v>
      </c>
      <c r="D395" s="3" t="s">
        <v>787</v>
      </c>
      <c r="E395" s="9" t="n">
        <v>2837000</v>
      </c>
      <c r="F395" s="9"/>
      <c r="G395" s="9" t="n">
        <f aca="false">N(F395)-N(E395)</f>
        <v>-2837000</v>
      </c>
      <c r="H395" s="3" t="n">
        <f aca="false">MONTH(B395)</f>
        <v>9</v>
      </c>
      <c r="I395" s="3" t="s">
        <v>1899</v>
      </c>
      <c r="J395" s="3" t="s">
        <v>1883</v>
      </c>
      <c r="K395" s="3" t="s">
        <v>1884</v>
      </c>
      <c r="L395" s="3" t="s">
        <v>1885</v>
      </c>
      <c r="M395" s="3" t="s">
        <v>1640</v>
      </c>
      <c r="N395" s="11"/>
    </row>
    <row r="396" customFormat="false" ht="15" hidden="false" customHeight="false" outlineLevel="0" collapsed="false">
      <c r="A396" s="3" t="n">
        <v>392</v>
      </c>
      <c r="B396" s="8" t="n">
        <v>45908</v>
      </c>
      <c r="C396" s="3" t="s">
        <v>788</v>
      </c>
      <c r="D396" s="3" t="s">
        <v>789</v>
      </c>
      <c r="E396" s="9" t="n">
        <v>382600</v>
      </c>
      <c r="F396" s="9"/>
      <c r="G396" s="9" t="n">
        <f aca="false">N(F396)-N(E396)</f>
        <v>-382600</v>
      </c>
      <c r="H396" s="3" t="n">
        <f aca="false">MONTH(B396)</f>
        <v>9</v>
      </c>
      <c r="I396" s="3" t="s">
        <v>1888</v>
      </c>
      <c r="J396" s="3" t="s">
        <v>1883</v>
      </c>
      <c r="K396" s="3" t="s">
        <v>1884</v>
      </c>
      <c r="L396" s="3" t="s">
        <v>1885</v>
      </c>
      <c r="M396" s="3" t="s">
        <v>1641</v>
      </c>
      <c r="N396" s="11"/>
    </row>
    <row r="397" customFormat="false" ht="15" hidden="false" customHeight="false" outlineLevel="0" collapsed="false">
      <c r="A397" s="3" t="n">
        <v>393</v>
      </c>
      <c r="B397" s="8" t="n">
        <v>45909</v>
      </c>
      <c r="C397" s="3" t="s">
        <v>790</v>
      </c>
      <c r="D397" s="3" t="s">
        <v>791</v>
      </c>
      <c r="E397" s="9"/>
      <c r="F397" s="9" t="n">
        <v>1097829.13</v>
      </c>
      <c r="G397" s="9" t="n">
        <f aca="false">N(F397)-N(E397)</f>
        <v>1097829.13</v>
      </c>
      <c r="H397" s="3" t="n">
        <f aca="false">MONTH(B397)</f>
        <v>9</v>
      </c>
      <c r="I397" s="3" t="s">
        <v>1891</v>
      </c>
      <c r="J397" s="3" t="s">
        <v>1883</v>
      </c>
      <c r="K397" s="3" t="s">
        <v>1884</v>
      </c>
      <c r="L397" s="3" t="s">
        <v>1885</v>
      </c>
      <c r="M397" s="3" t="s">
        <v>1644</v>
      </c>
      <c r="N397" s="11" t="s">
        <v>1892</v>
      </c>
    </row>
    <row r="398" customFormat="false" ht="15" hidden="false" customHeight="false" outlineLevel="0" collapsed="false">
      <c r="A398" s="16" t="n">
        <v>394</v>
      </c>
      <c r="B398" s="17" t="n">
        <v>45909</v>
      </c>
      <c r="C398" s="16" t="s">
        <v>792</v>
      </c>
      <c r="D398" s="16" t="s">
        <v>793</v>
      </c>
      <c r="E398" s="18"/>
      <c r="F398" s="18" t="n">
        <v>3000000</v>
      </c>
      <c r="G398" s="18" t="n">
        <f aca="false">N(F398)-N(E398)</f>
        <v>3000000</v>
      </c>
      <c r="H398" s="16" t="n">
        <f aca="false">MONTH(B398)</f>
        <v>9</v>
      </c>
      <c r="I398" s="16" t="s">
        <v>1970</v>
      </c>
      <c r="J398" s="16" t="s">
        <v>1920</v>
      </c>
      <c r="K398" s="16" t="s">
        <v>1921</v>
      </c>
      <c r="L398" s="16" t="s">
        <v>1885</v>
      </c>
      <c r="M398" s="16" t="s">
        <v>1645</v>
      </c>
      <c r="N398" s="19" t="s">
        <v>1971</v>
      </c>
    </row>
    <row r="399" customFormat="false" ht="15" hidden="false" customHeight="false" outlineLevel="0" collapsed="false">
      <c r="A399" s="3" t="n">
        <v>395</v>
      </c>
      <c r="B399" s="8" t="n">
        <v>45910</v>
      </c>
      <c r="C399" s="3" t="s">
        <v>794</v>
      </c>
      <c r="D399" s="3" t="s">
        <v>795</v>
      </c>
      <c r="E399" s="9" t="n">
        <v>487060</v>
      </c>
      <c r="F399" s="9"/>
      <c r="G399" s="9" t="n">
        <f aca="false">N(F399)-N(E399)</f>
        <v>-487060</v>
      </c>
      <c r="H399" s="3" t="n">
        <f aca="false">MONTH(B399)</f>
        <v>9</v>
      </c>
      <c r="I399" s="3" t="s">
        <v>1898</v>
      </c>
      <c r="J399" s="3" t="s">
        <v>1883</v>
      </c>
      <c r="K399" s="3" t="s">
        <v>1884</v>
      </c>
      <c r="L399" s="3" t="s">
        <v>1885</v>
      </c>
      <c r="M399" s="3" t="s">
        <v>1649</v>
      </c>
      <c r="N399" s="11"/>
    </row>
    <row r="400" customFormat="false" ht="15" hidden="false" customHeight="false" outlineLevel="0" collapsed="false">
      <c r="A400" s="3" t="n">
        <v>396</v>
      </c>
      <c r="B400" s="8" t="n">
        <v>45910</v>
      </c>
      <c r="C400" s="3" t="s">
        <v>796</v>
      </c>
      <c r="D400" s="3" t="s">
        <v>797</v>
      </c>
      <c r="E400" s="9" t="n">
        <v>1057421.95</v>
      </c>
      <c r="F400" s="9"/>
      <c r="G400" s="9" t="n">
        <f aca="false">N(F400)-N(E400)</f>
        <v>-1057421.95</v>
      </c>
      <c r="H400" s="3" t="n">
        <f aca="false">MONTH(B400)</f>
        <v>9</v>
      </c>
      <c r="I400" s="3" t="s">
        <v>1944</v>
      </c>
      <c r="J400" s="3" t="s">
        <v>1920</v>
      </c>
      <c r="K400" s="3" t="s">
        <v>1884</v>
      </c>
      <c r="L400" s="3" t="s">
        <v>1885</v>
      </c>
      <c r="M400" s="3" t="s">
        <v>1642</v>
      </c>
      <c r="N400" s="11" t="s">
        <v>1945</v>
      </c>
    </row>
    <row r="401" customFormat="false" ht="15" hidden="false" customHeight="false" outlineLevel="0" collapsed="false">
      <c r="A401" s="3" t="n">
        <v>397</v>
      </c>
      <c r="B401" s="8" t="n">
        <v>45911</v>
      </c>
      <c r="C401" s="3" t="s">
        <v>798</v>
      </c>
      <c r="D401" s="3" t="s">
        <v>799</v>
      </c>
      <c r="E401" s="9"/>
      <c r="F401" s="9" t="n">
        <v>2628700</v>
      </c>
      <c r="G401" s="9" t="n">
        <f aca="false">N(F401)-N(E401)</f>
        <v>2628700</v>
      </c>
      <c r="H401" s="3" t="n">
        <f aca="false">MONTH(B401)</f>
        <v>9</v>
      </c>
      <c r="I401" s="3" t="s">
        <v>1882</v>
      </c>
      <c r="J401" s="3" t="s">
        <v>1883</v>
      </c>
      <c r="K401" s="3" t="s">
        <v>1884</v>
      </c>
      <c r="L401" s="3" t="s">
        <v>1885</v>
      </c>
      <c r="M401" s="3" t="s">
        <v>1651</v>
      </c>
      <c r="N401" s="11"/>
    </row>
    <row r="402" customFormat="false" ht="15" hidden="false" customHeight="false" outlineLevel="0" collapsed="false">
      <c r="A402" s="12" t="n">
        <v>398</v>
      </c>
      <c r="B402" s="13" t="n">
        <v>45911</v>
      </c>
      <c r="C402" s="12" t="s">
        <v>800</v>
      </c>
      <c r="D402" s="12" t="s">
        <v>801</v>
      </c>
      <c r="E402" s="14"/>
      <c r="F402" s="14" t="n">
        <v>1384363.36</v>
      </c>
      <c r="G402" s="14" t="n">
        <f aca="false">N(F402)-N(E402)</f>
        <v>1384363.36</v>
      </c>
      <c r="H402" s="12" t="n">
        <f aca="false">MONTH(B402)</f>
        <v>9</v>
      </c>
      <c r="I402" s="12" t="s">
        <v>1895</v>
      </c>
      <c r="J402" s="12" t="s">
        <v>1883</v>
      </c>
      <c r="K402" s="12" t="s">
        <v>1896</v>
      </c>
      <c r="L402" s="12" t="s">
        <v>1885</v>
      </c>
      <c r="M402" s="12" t="s">
        <v>1653</v>
      </c>
      <c r="N402" s="15" t="s">
        <v>1897</v>
      </c>
    </row>
    <row r="403" customFormat="false" ht="15" hidden="false" customHeight="false" outlineLevel="0" collapsed="false">
      <c r="A403" s="3" t="n">
        <v>399</v>
      </c>
      <c r="B403" s="8" t="n">
        <v>45912</v>
      </c>
      <c r="C403" s="3" t="s">
        <v>802</v>
      </c>
      <c r="D403" s="3" t="s">
        <v>803</v>
      </c>
      <c r="E403" s="9"/>
      <c r="F403" s="9" t="n">
        <v>1541400</v>
      </c>
      <c r="G403" s="9" t="n">
        <f aca="false">N(F403)-N(E403)</f>
        <v>1541400</v>
      </c>
      <c r="H403" s="3" t="n">
        <f aca="false">MONTH(B403)</f>
        <v>9</v>
      </c>
      <c r="I403" s="3" t="s">
        <v>1882</v>
      </c>
      <c r="J403" s="3" t="s">
        <v>1883</v>
      </c>
      <c r="K403" s="3" t="s">
        <v>1884</v>
      </c>
      <c r="L403" s="3" t="s">
        <v>1885</v>
      </c>
      <c r="M403" s="3" t="s">
        <v>1654</v>
      </c>
      <c r="N403" s="11"/>
    </row>
    <row r="404" customFormat="false" ht="15" hidden="false" customHeight="false" outlineLevel="0" collapsed="false">
      <c r="A404" s="3" t="n">
        <v>400</v>
      </c>
      <c r="B404" s="8" t="n">
        <v>45912</v>
      </c>
      <c r="C404" s="3" t="s">
        <v>804</v>
      </c>
      <c r="D404" s="3" t="s">
        <v>805</v>
      </c>
      <c r="E404" s="9"/>
      <c r="F404" s="9" t="n">
        <v>4181300</v>
      </c>
      <c r="G404" s="9" t="n">
        <f aca="false">N(F404)-N(E404)</f>
        <v>4181300</v>
      </c>
      <c r="H404" s="3" t="n">
        <f aca="false">MONTH(B404)</f>
        <v>9</v>
      </c>
      <c r="I404" s="3" t="s">
        <v>1882</v>
      </c>
      <c r="J404" s="3" t="s">
        <v>1883</v>
      </c>
      <c r="K404" s="3" t="s">
        <v>1884</v>
      </c>
      <c r="L404" s="3" t="s">
        <v>1885</v>
      </c>
      <c r="M404" s="3" t="s">
        <v>1656</v>
      </c>
      <c r="N404" s="11"/>
    </row>
    <row r="405" customFormat="false" ht="15" hidden="false" customHeight="false" outlineLevel="0" collapsed="false">
      <c r="A405" s="3" t="n">
        <v>401</v>
      </c>
      <c r="B405" s="8" t="n">
        <v>45912</v>
      </c>
      <c r="C405" s="3" t="s">
        <v>806</v>
      </c>
      <c r="D405" s="3" t="s">
        <v>807</v>
      </c>
      <c r="E405" s="9" t="n">
        <v>2167600</v>
      </c>
      <c r="F405" s="9"/>
      <c r="G405" s="9" t="n">
        <f aca="false">N(F405)-N(E405)</f>
        <v>-2167600</v>
      </c>
      <c r="H405" s="3" t="n">
        <f aca="false">MONTH(B405)</f>
        <v>9</v>
      </c>
      <c r="I405" s="3" t="s">
        <v>1899</v>
      </c>
      <c r="J405" s="3" t="s">
        <v>1883</v>
      </c>
      <c r="K405" s="3" t="s">
        <v>1884</v>
      </c>
      <c r="L405" s="3" t="s">
        <v>1885</v>
      </c>
      <c r="M405" s="3" t="s">
        <v>1647</v>
      </c>
      <c r="N405" s="11"/>
    </row>
    <row r="406" customFormat="false" ht="15" hidden="false" customHeight="false" outlineLevel="0" collapsed="false">
      <c r="A406" s="3" t="n">
        <v>402</v>
      </c>
      <c r="B406" s="8" t="n">
        <v>45912</v>
      </c>
      <c r="C406" s="3" t="s">
        <v>808</v>
      </c>
      <c r="D406" s="3" t="s">
        <v>809</v>
      </c>
      <c r="E406" s="9" t="n">
        <v>148012.55</v>
      </c>
      <c r="F406" s="9"/>
      <c r="G406" s="9" t="n">
        <f aca="false">N(F406)-N(E406)</f>
        <v>-148012.55</v>
      </c>
      <c r="H406" s="3" t="n">
        <f aca="false">MONTH(B406)</f>
        <v>9</v>
      </c>
      <c r="I406" s="3" t="s">
        <v>1900</v>
      </c>
      <c r="J406" s="3" t="s">
        <v>1883</v>
      </c>
      <c r="K406" s="3" t="s">
        <v>1884</v>
      </c>
      <c r="L406" s="3" t="s">
        <v>1885</v>
      </c>
      <c r="M406" s="3" t="s">
        <v>1658</v>
      </c>
      <c r="N406" s="11"/>
    </row>
    <row r="407" customFormat="false" ht="15" hidden="false" customHeight="false" outlineLevel="0" collapsed="false">
      <c r="A407" s="3" t="n">
        <v>403</v>
      </c>
      <c r="B407" s="8" t="n">
        <v>45915</v>
      </c>
      <c r="C407" s="3" t="s">
        <v>810</v>
      </c>
      <c r="D407" s="3" t="s">
        <v>811</v>
      </c>
      <c r="E407" s="9"/>
      <c r="F407" s="9" t="n">
        <v>3820500</v>
      </c>
      <c r="G407" s="9" t="n">
        <f aca="false">N(F407)-N(E407)</f>
        <v>3820500</v>
      </c>
      <c r="H407" s="3" t="n">
        <f aca="false">MONTH(B407)</f>
        <v>9</v>
      </c>
      <c r="I407" s="3" t="s">
        <v>1882</v>
      </c>
      <c r="J407" s="3" t="s">
        <v>1883</v>
      </c>
      <c r="K407" s="3" t="s">
        <v>1884</v>
      </c>
      <c r="L407" s="3" t="s">
        <v>1885</v>
      </c>
      <c r="M407" s="3" t="s">
        <v>1659</v>
      </c>
      <c r="N407" s="11"/>
    </row>
    <row r="408" customFormat="false" ht="15" hidden="false" customHeight="false" outlineLevel="0" collapsed="false">
      <c r="A408" s="3" t="n">
        <v>404</v>
      </c>
      <c r="B408" s="8" t="n">
        <v>45915</v>
      </c>
      <c r="C408" s="3" t="s">
        <v>812</v>
      </c>
      <c r="D408" s="3" t="s">
        <v>813</v>
      </c>
      <c r="E408" s="9"/>
      <c r="F408" s="9" t="n">
        <v>4722000</v>
      </c>
      <c r="G408" s="9" t="n">
        <f aca="false">N(F408)-N(E408)</f>
        <v>4722000</v>
      </c>
      <c r="H408" s="3" t="n">
        <f aca="false">MONTH(B408)</f>
        <v>9</v>
      </c>
      <c r="I408" s="3" t="s">
        <v>1882</v>
      </c>
      <c r="J408" s="3" t="s">
        <v>1883</v>
      </c>
      <c r="K408" s="3" t="s">
        <v>1884</v>
      </c>
      <c r="L408" s="3" t="s">
        <v>1885</v>
      </c>
      <c r="M408" s="3" t="s">
        <v>1661</v>
      </c>
      <c r="N408" s="11"/>
    </row>
    <row r="409" customFormat="false" ht="15" hidden="false" customHeight="false" outlineLevel="0" collapsed="false">
      <c r="A409" s="3" t="n">
        <v>405</v>
      </c>
      <c r="B409" s="8" t="n">
        <v>45915</v>
      </c>
      <c r="C409" s="3" t="s">
        <v>814</v>
      </c>
      <c r="D409" s="3" t="s">
        <v>815</v>
      </c>
      <c r="E409" s="9"/>
      <c r="F409" s="9" t="n">
        <v>1106420.53</v>
      </c>
      <c r="G409" s="9" t="n">
        <f aca="false">N(F409)-N(E409)</f>
        <v>1106420.53</v>
      </c>
      <c r="H409" s="3" t="n">
        <f aca="false">MONTH(B409)</f>
        <v>9</v>
      </c>
      <c r="I409" s="3" t="s">
        <v>1886</v>
      </c>
      <c r="J409" s="3" t="s">
        <v>1883</v>
      </c>
      <c r="K409" s="3" t="s">
        <v>1884</v>
      </c>
      <c r="L409" s="3" t="s">
        <v>1885</v>
      </c>
      <c r="M409" s="3" t="s">
        <v>1663</v>
      </c>
      <c r="N409" s="11" t="s">
        <v>1887</v>
      </c>
    </row>
    <row r="410" customFormat="false" ht="15" hidden="false" customHeight="false" outlineLevel="0" collapsed="false">
      <c r="A410" s="3" t="n">
        <v>406</v>
      </c>
      <c r="B410" s="8" t="n">
        <v>45915</v>
      </c>
      <c r="C410" s="3" t="s">
        <v>816</v>
      </c>
      <c r="D410" s="3" t="s">
        <v>817</v>
      </c>
      <c r="E410" s="9" t="n">
        <v>894600</v>
      </c>
      <c r="F410" s="9"/>
      <c r="G410" s="9" t="n">
        <f aca="false">N(F410)-N(E410)</f>
        <v>-894600</v>
      </c>
      <c r="H410" s="3" t="n">
        <f aca="false">MONTH(B410)</f>
        <v>9</v>
      </c>
      <c r="I410" s="3" t="s">
        <v>1903</v>
      </c>
      <c r="J410" s="3" t="s">
        <v>1883</v>
      </c>
      <c r="K410" s="3" t="s">
        <v>1884</v>
      </c>
      <c r="L410" s="3" t="s">
        <v>1885</v>
      </c>
      <c r="M410" s="3" t="s">
        <v>1664</v>
      </c>
      <c r="N410" s="11"/>
    </row>
    <row r="411" customFormat="false" ht="15" hidden="false" customHeight="false" outlineLevel="0" collapsed="false">
      <c r="A411" s="3" t="n">
        <v>407</v>
      </c>
      <c r="B411" s="8" t="n">
        <v>45915</v>
      </c>
      <c r="C411" s="3" t="s">
        <v>818</v>
      </c>
      <c r="D411" s="3" t="s">
        <v>819</v>
      </c>
      <c r="E411" s="9" t="n">
        <v>239562.09</v>
      </c>
      <c r="F411" s="9"/>
      <c r="G411" s="9" t="n">
        <f aca="false">N(F411)-N(E411)</f>
        <v>-239562.09</v>
      </c>
      <c r="H411" s="3" t="n">
        <f aca="false">MONTH(B411)</f>
        <v>9</v>
      </c>
      <c r="I411" s="3" t="s">
        <v>1893</v>
      </c>
      <c r="J411" s="3" t="s">
        <v>1883</v>
      </c>
      <c r="K411" s="3" t="s">
        <v>1884</v>
      </c>
      <c r="L411" s="3" t="s">
        <v>1885</v>
      </c>
      <c r="M411" s="3" t="s">
        <v>1666</v>
      </c>
      <c r="N411" s="11" t="s">
        <v>1894</v>
      </c>
    </row>
    <row r="412" customFormat="false" ht="15" hidden="false" customHeight="false" outlineLevel="0" collapsed="false">
      <c r="A412" s="3" t="n">
        <v>408</v>
      </c>
      <c r="B412" s="8" t="n">
        <v>45916</v>
      </c>
      <c r="C412" s="3" t="s">
        <v>820</v>
      </c>
      <c r="D412" s="3" t="s">
        <v>821</v>
      </c>
      <c r="E412" s="9"/>
      <c r="F412" s="9" t="n">
        <v>3337000</v>
      </c>
      <c r="G412" s="9" t="n">
        <f aca="false">N(F412)-N(E412)</f>
        <v>3337000</v>
      </c>
      <c r="H412" s="3" t="n">
        <f aca="false">MONTH(B412)</f>
        <v>9</v>
      </c>
      <c r="I412" s="3" t="s">
        <v>1882</v>
      </c>
      <c r="J412" s="3" t="s">
        <v>1883</v>
      </c>
      <c r="K412" s="3" t="s">
        <v>1884</v>
      </c>
      <c r="L412" s="3" t="s">
        <v>1885</v>
      </c>
      <c r="M412" s="3" t="s">
        <v>1669</v>
      </c>
      <c r="N412" s="11"/>
    </row>
    <row r="413" customFormat="false" ht="15" hidden="false" customHeight="false" outlineLevel="0" collapsed="false">
      <c r="A413" s="12" t="n">
        <v>409</v>
      </c>
      <c r="B413" s="13" t="n">
        <v>45917</v>
      </c>
      <c r="C413" s="12" t="s">
        <v>822</v>
      </c>
      <c r="D413" s="12" t="s">
        <v>454</v>
      </c>
      <c r="E413" s="14" t="n">
        <v>1418200</v>
      </c>
      <c r="F413" s="14"/>
      <c r="G413" s="14" t="n">
        <f aca="false">N(F413)-N(E413)</f>
        <v>-1418200</v>
      </c>
      <c r="H413" s="12" t="n">
        <f aca="false">MONTH(B413)</f>
        <v>9</v>
      </c>
      <c r="I413" s="12" t="s">
        <v>1899</v>
      </c>
      <c r="J413" s="12" t="s">
        <v>1883</v>
      </c>
      <c r="K413" s="12" t="s">
        <v>1896</v>
      </c>
      <c r="L413" s="12" t="s">
        <v>1885</v>
      </c>
      <c r="M413" s="12" t="s">
        <v>1671</v>
      </c>
      <c r="N413" s="15" t="s">
        <v>1937</v>
      </c>
    </row>
    <row r="414" customFormat="false" ht="15" hidden="false" customHeight="false" outlineLevel="0" collapsed="false">
      <c r="A414" s="3" t="n">
        <v>410</v>
      </c>
      <c r="B414" s="8" t="n">
        <v>45919</v>
      </c>
      <c r="C414" s="3" t="s">
        <v>823</v>
      </c>
      <c r="D414" s="3" t="s">
        <v>824</v>
      </c>
      <c r="E414" s="9" t="n">
        <v>245835.59</v>
      </c>
      <c r="F414" s="9"/>
      <c r="G414" s="9" t="n">
        <f aca="false">N(F414)-N(E414)</f>
        <v>-245835.59</v>
      </c>
      <c r="H414" s="3" t="n">
        <f aca="false">MONTH(B414)</f>
        <v>9</v>
      </c>
      <c r="I414" s="3" t="s">
        <v>1901</v>
      </c>
      <c r="J414" s="3" t="s">
        <v>1883</v>
      </c>
      <c r="K414" s="3" t="s">
        <v>1884</v>
      </c>
      <c r="L414" s="3" t="s">
        <v>1885</v>
      </c>
      <c r="M414" s="3" t="s">
        <v>1672</v>
      </c>
      <c r="N414" s="11" t="s">
        <v>1902</v>
      </c>
    </row>
    <row r="415" customFormat="false" ht="15" hidden="false" customHeight="false" outlineLevel="0" collapsed="false">
      <c r="A415" s="3" t="n">
        <v>411</v>
      </c>
      <c r="B415" s="8" t="n">
        <v>45922</v>
      </c>
      <c r="C415" s="3" t="s">
        <v>825</v>
      </c>
      <c r="D415" s="3" t="s">
        <v>826</v>
      </c>
      <c r="E415" s="9"/>
      <c r="F415" s="9" t="n">
        <v>1901241.69</v>
      </c>
      <c r="G415" s="9" t="n">
        <f aca="false">N(F415)-N(E415)</f>
        <v>1901241.69</v>
      </c>
      <c r="H415" s="3" t="n">
        <f aca="false">MONTH(B415)</f>
        <v>9</v>
      </c>
      <c r="I415" s="3" t="s">
        <v>1886</v>
      </c>
      <c r="J415" s="3" t="s">
        <v>1883</v>
      </c>
      <c r="K415" s="3" t="s">
        <v>1884</v>
      </c>
      <c r="L415" s="3" t="s">
        <v>1885</v>
      </c>
      <c r="M415" s="3" t="s">
        <v>1673</v>
      </c>
      <c r="N415" s="11" t="s">
        <v>1887</v>
      </c>
    </row>
    <row r="416" customFormat="false" ht="15" hidden="false" customHeight="false" outlineLevel="0" collapsed="false">
      <c r="A416" s="3" t="n">
        <v>412</v>
      </c>
      <c r="B416" s="8" t="n">
        <v>45922</v>
      </c>
      <c r="C416" s="3" t="s">
        <v>827</v>
      </c>
      <c r="D416" s="3" t="s">
        <v>828</v>
      </c>
      <c r="E416" s="9" t="n">
        <v>1543200</v>
      </c>
      <c r="F416" s="9"/>
      <c r="G416" s="9" t="n">
        <f aca="false">N(F416)-N(E416)</f>
        <v>-1543200</v>
      </c>
      <c r="H416" s="3" t="n">
        <f aca="false">MONTH(B416)</f>
        <v>9</v>
      </c>
      <c r="I416" s="3" t="s">
        <v>1899</v>
      </c>
      <c r="J416" s="3" t="s">
        <v>1883</v>
      </c>
      <c r="K416" s="3" t="s">
        <v>1884</v>
      </c>
      <c r="L416" s="3" t="s">
        <v>1885</v>
      </c>
      <c r="M416" s="3" t="s">
        <v>1667</v>
      </c>
      <c r="N416" s="11"/>
    </row>
    <row r="417" customFormat="false" ht="15" hidden="false" customHeight="false" outlineLevel="0" collapsed="false">
      <c r="A417" s="3" t="n">
        <v>413</v>
      </c>
      <c r="B417" s="8" t="n">
        <v>45922</v>
      </c>
      <c r="C417" s="3" t="s">
        <v>829</v>
      </c>
      <c r="D417" s="3" t="s">
        <v>830</v>
      </c>
      <c r="E417" s="9" t="n">
        <v>1533903.26</v>
      </c>
      <c r="F417" s="9"/>
      <c r="G417" s="9" t="n">
        <f aca="false">N(F417)-N(E417)</f>
        <v>-1533903.26</v>
      </c>
      <c r="H417" s="3" t="n">
        <f aca="false">MONTH(B417)</f>
        <v>9</v>
      </c>
      <c r="I417" s="3" t="s">
        <v>1904</v>
      </c>
      <c r="J417" s="3" t="s">
        <v>1883</v>
      </c>
      <c r="K417" s="3" t="s">
        <v>1884</v>
      </c>
      <c r="L417" s="3" t="s">
        <v>1885</v>
      </c>
      <c r="M417" s="3" t="s">
        <v>1674</v>
      </c>
      <c r="N417" s="11" t="s">
        <v>1905</v>
      </c>
    </row>
    <row r="418" customFormat="false" ht="15" hidden="false" customHeight="false" outlineLevel="0" collapsed="false">
      <c r="A418" s="3" t="n">
        <v>414</v>
      </c>
      <c r="B418" s="8" t="n">
        <v>45922</v>
      </c>
      <c r="C418" s="3" t="s">
        <v>831</v>
      </c>
      <c r="D418" s="3" t="s">
        <v>832</v>
      </c>
      <c r="E418" s="9" t="n">
        <v>163072.68</v>
      </c>
      <c r="F418" s="9"/>
      <c r="G418" s="9" t="n">
        <f aca="false">N(F418)-N(E418)</f>
        <v>-163072.68</v>
      </c>
      <c r="H418" s="3" t="n">
        <f aca="false">MONTH(B418)</f>
        <v>9</v>
      </c>
      <c r="I418" s="3" t="s">
        <v>1906</v>
      </c>
      <c r="J418" s="3" t="s">
        <v>1883</v>
      </c>
      <c r="K418" s="3" t="s">
        <v>1884</v>
      </c>
      <c r="L418" s="3" t="s">
        <v>1885</v>
      </c>
      <c r="M418" s="3" t="s">
        <v>1676</v>
      </c>
      <c r="N418" s="11"/>
    </row>
    <row r="419" customFormat="false" ht="15" hidden="false" customHeight="false" outlineLevel="0" collapsed="false">
      <c r="A419" s="3" t="n">
        <v>415</v>
      </c>
      <c r="B419" s="8" t="n">
        <v>45922</v>
      </c>
      <c r="C419" s="3" t="s">
        <v>833</v>
      </c>
      <c r="D419" s="3" t="s">
        <v>834</v>
      </c>
      <c r="E419" s="9" t="n">
        <v>313800</v>
      </c>
      <c r="F419" s="9"/>
      <c r="G419" s="9" t="n">
        <f aca="false">N(F419)-N(E419)</f>
        <v>-313800</v>
      </c>
      <c r="H419" s="3" t="n">
        <f aca="false">MONTH(B419)</f>
        <v>9</v>
      </c>
      <c r="I419" s="3" t="s">
        <v>1888</v>
      </c>
      <c r="J419" s="3" t="s">
        <v>1883</v>
      </c>
      <c r="K419" s="3" t="s">
        <v>1884</v>
      </c>
      <c r="L419" s="3" t="s">
        <v>1885</v>
      </c>
      <c r="M419" s="3" t="s">
        <v>1677</v>
      </c>
      <c r="N419" s="11"/>
    </row>
    <row r="420" customFormat="false" ht="15" hidden="false" customHeight="false" outlineLevel="0" collapsed="false">
      <c r="A420" s="3" t="n">
        <v>416</v>
      </c>
      <c r="B420" s="8" t="n">
        <v>45923</v>
      </c>
      <c r="C420" s="3" t="s">
        <v>835</v>
      </c>
      <c r="D420" s="3" t="s">
        <v>836</v>
      </c>
      <c r="E420" s="9"/>
      <c r="F420" s="9" t="n">
        <v>4774500</v>
      </c>
      <c r="G420" s="9" t="n">
        <f aca="false">N(F420)-N(E420)</f>
        <v>4774500</v>
      </c>
      <c r="H420" s="3" t="n">
        <f aca="false">MONTH(B420)</f>
        <v>9</v>
      </c>
      <c r="I420" s="3" t="s">
        <v>1882</v>
      </c>
      <c r="J420" s="3" t="s">
        <v>1883</v>
      </c>
      <c r="K420" s="3" t="s">
        <v>1884</v>
      </c>
      <c r="L420" s="3" t="s">
        <v>1885</v>
      </c>
      <c r="M420" s="3" t="s">
        <v>1678</v>
      </c>
      <c r="N420" s="11"/>
    </row>
    <row r="421" customFormat="false" ht="15" hidden="false" customHeight="false" outlineLevel="0" collapsed="false">
      <c r="A421" s="3" t="n">
        <v>417</v>
      </c>
      <c r="B421" s="8" t="n">
        <v>45923</v>
      </c>
      <c r="C421" s="3" t="s">
        <v>837</v>
      </c>
      <c r="D421" s="3" t="s">
        <v>838</v>
      </c>
      <c r="E421" s="9"/>
      <c r="F421" s="9" t="n">
        <v>687398.17</v>
      </c>
      <c r="G421" s="9" t="n">
        <f aca="false">N(F421)-N(E421)</f>
        <v>687398.17</v>
      </c>
      <c r="H421" s="3" t="n">
        <f aca="false">MONTH(B421)</f>
        <v>9</v>
      </c>
      <c r="I421" s="3" t="s">
        <v>1891</v>
      </c>
      <c r="J421" s="3" t="s">
        <v>1883</v>
      </c>
      <c r="K421" s="3" t="s">
        <v>1884</v>
      </c>
      <c r="L421" s="3" t="s">
        <v>1885</v>
      </c>
      <c r="M421" s="3" t="s">
        <v>1680</v>
      </c>
      <c r="N421" s="11" t="s">
        <v>1892</v>
      </c>
    </row>
    <row r="422" customFormat="false" ht="15" hidden="false" customHeight="false" outlineLevel="0" collapsed="false">
      <c r="A422" s="12" t="n">
        <v>418</v>
      </c>
      <c r="B422" s="13" t="n">
        <v>45923</v>
      </c>
      <c r="C422" s="12" t="s">
        <v>839</v>
      </c>
      <c r="D422" s="12" t="s">
        <v>840</v>
      </c>
      <c r="E422" s="14" t="n">
        <v>418000</v>
      </c>
      <c r="F422" s="14"/>
      <c r="G422" s="14" t="n">
        <f aca="false">N(F422)-N(E422)</f>
        <v>-418000</v>
      </c>
      <c r="H422" s="12" t="n">
        <f aca="false">MONTH(B422)</f>
        <v>9</v>
      </c>
      <c r="I422" s="12" t="s">
        <v>1908</v>
      </c>
      <c r="J422" s="12" t="s">
        <v>1883</v>
      </c>
      <c r="K422" s="12" t="s">
        <v>1896</v>
      </c>
      <c r="L422" s="12" t="s">
        <v>1885</v>
      </c>
      <c r="M422" s="12" t="s">
        <v>1681</v>
      </c>
      <c r="N422" s="15" t="s">
        <v>1909</v>
      </c>
    </row>
    <row r="423" customFormat="false" ht="15" hidden="false" customHeight="false" outlineLevel="0" collapsed="false">
      <c r="A423" s="3" t="n">
        <v>419</v>
      </c>
      <c r="B423" s="8" t="n">
        <v>45924</v>
      </c>
      <c r="C423" s="3" t="s">
        <v>841</v>
      </c>
      <c r="D423" s="3" t="s">
        <v>842</v>
      </c>
      <c r="E423" s="9" t="n">
        <v>225237.13</v>
      </c>
      <c r="F423" s="9"/>
      <c r="G423" s="9" t="n">
        <f aca="false">N(F423)-N(E423)</f>
        <v>-225237.13</v>
      </c>
      <c r="H423" s="3" t="n">
        <f aca="false">MONTH(B423)</f>
        <v>9</v>
      </c>
      <c r="I423" s="3" t="s">
        <v>1893</v>
      </c>
      <c r="J423" s="3" t="s">
        <v>1883</v>
      </c>
      <c r="K423" s="3" t="s">
        <v>1884</v>
      </c>
      <c r="L423" s="3" t="s">
        <v>1885</v>
      </c>
      <c r="M423" s="3" t="s">
        <v>1682</v>
      </c>
      <c r="N423" s="11" t="s">
        <v>1894</v>
      </c>
    </row>
    <row r="424" customFormat="false" ht="15" hidden="false" customHeight="false" outlineLevel="0" collapsed="false">
      <c r="A424" s="3" t="n">
        <v>420</v>
      </c>
      <c r="B424" s="8" t="n">
        <v>45929</v>
      </c>
      <c r="C424" s="3" t="s">
        <v>843</v>
      </c>
      <c r="D424" s="3" t="s">
        <v>844</v>
      </c>
      <c r="E424" s="9"/>
      <c r="F424" s="9" t="n">
        <v>1065532.49</v>
      </c>
      <c r="G424" s="9" t="n">
        <f aca="false">N(F424)-N(E424)</f>
        <v>1065532.49</v>
      </c>
      <c r="H424" s="3" t="n">
        <f aca="false">MONTH(B424)</f>
        <v>9</v>
      </c>
      <c r="I424" s="3" t="s">
        <v>1886</v>
      </c>
      <c r="J424" s="3" t="s">
        <v>1883</v>
      </c>
      <c r="K424" s="3" t="s">
        <v>1884</v>
      </c>
      <c r="L424" s="3" t="s">
        <v>1885</v>
      </c>
      <c r="M424" s="3" t="s">
        <v>1684</v>
      </c>
      <c r="N424" s="11" t="s">
        <v>1887</v>
      </c>
    </row>
    <row r="425" customFormat="false" ht="15" hidden="false" customHeight="false" outlineLevel="0" collapsed="false">
      <c r="A425" s="3" t="n">
        <v>421</v>
      </c>
      <c r="B425" s="8" t="n">
        <v>45929</v>
      </c>
      <c r="C425" s="3" t="s">
        <v>845</v>
      </c>
      <c r="D425" s="3" t="s">
        <v>846</v>
      </c>
      <c r="E425" s="9" t="n">
        <v>4085300</v>
      </c>
      <c r="F425" s="9"/>
      <c r="G425" s="9" t="n">
        <f aca="false">N(F425)-N(E425)</f>
        <v>-4085300</v>
      </c>
      <c r="H425" s="3" t="n">
        <f aca="false">MONTH(B425)</f>
        <v>9</v>
      </c>
      <c r="I425" s="3" t="s">
        <v>1910</v>
      </c>
      <c r="J425" s="3" t="s">
        <v>1883</v>
      </c>
      <c r="K425" s="3" t="s">
        <v>1884</v>
      </c>
      <c r="L425" s="3" t="s">
        <v>1885</v>
      </c>
      <c r="M425" s="3" t="s">
        <v>1685</v>
      </c>
      <c r="N425" s="11"/>
    </row>
    <row r="426" customFormat="false" ht="15" hidden="false" customHeight="false" outlineLevel="0" collapsed="false">
      <c r="A426" s="3" t="n">
        <v>422</v>
      </c>
      <c r="B426" s="8" t="n">
        <v>45929</v>
      </c>
      <c r="C426" s="3" t="s">
        <v>847</v>
      </c>
      <c r="D426" s="3" t="s">
        <v>848</v>
      </c>
      <c r="E426" s="9" t="n">
        <v>164968.53</v>
      </c>
      <c r="F426" s="9"/>
      <c r="G426" s="9" t="n">
        <f aca="false">N(F426)-N(E426)</f>
        <v>-164968.53</v>
      </c>
      <c r="H426" s="3" t="n">
        <f aca="false">MONTH(B426)</f>
        <v>9</v>
      </c>
      <c r="I426" s="3" t="s">
        <v>1893</v>
      </c>
      <c r="J426" s="3" t="s">
        <v>1883</v>
      </c>
      <c r="K426" s="3" t="s">
        <v>1884</v>
      </c>
      <c r="L426" s="3" t="s">
        <v>1885</v>
      </c>
      <c r="M426" s="3" t="s">
        <v>1683</v>
      </c>
      <c r="N426" s="11" t="s">
        <v>1894</v>
      </c>
    </row>
    <row r="427" customFormat="false" ht="15" hidden="false" customHeight="false" outlineLevel="0" collapsed="false">
      <c r="A427" s="3" t="n">
        <v>423</v>
      </c>
      <c r="B427" s="8" t="n">
        <v>45930</v>
      </c>
      <c r="C427" s="3" t="s">
        <v>849</v>
      </c>
      <c r="D427" s="3" t="s">
        <v>315</v>
      </c>
      <c r="E427" s="9"/>
      <c r="F427" s="9" t="n">
        <v>44903.69</v>
      </c>
      <c r="G427" s="9" t="n">
        <f aca="false">N(F427)-N(E427)</f>
        <v>44903.69</v>
      </c>
      <c r="H427" s="3" t="n">
        <f aca="false">MONTH(B427)</f>
        <v>9</v>
      </c>
      <c r="I427" s="3" t="s">
        <v>1938</v>
      </c>
      <c r="J427" s="3" t="s">
        <v>1883</v>
      </c>
      <c r="K427" s="3" t="s">
        <v>1884</v>
      </c>
      <c r="L427" s="3" t="s">
        <v>1939</v>
      </c>
      <c r="M427" s="3" t="s">
        <v>1940</v>
      </c>
      <c r="N427" s="11" t="s">
        <v>1941</v>
      </c>
    </row>
    <row r="428" customFormat="false" ht="15" hidden="false" customHeight="false" outlineLevel="0" collapsed="false">
      <c r="A428" s="3" t="n">
        <v>424</v>
      </c>
      <c r="B428" s="8" t="n">
        <v>45930</v>
      </c>
      <c r="C428" s="3" t="s">
        <v>850</v>
      </c>
      <c r="D428" s="3" t="s">
        <v>851</v>
      </c>
      <c r="E428" s="9" t="n">
        <v>4500</v>
      </c>
      <c r="F428" s="9"/>
      <c r="G428" s="9" t="n">
        <f aca="false">N(F428)-N(E428)</f>
        <v>-4500</v>
      </c>
      <c r="H428" s="3" t="n">
        <f aca="false">MONTH(B428)</f>
        <v>9</v>
      </c>
      <c r="I428" s="3" t="s">
        <v>1911</v>
      </c>
      <c r="J428" s="3" t="s">
        <v>1883</v>
      </c>
      <c r="K428" s="3" t="s">
        <v>1884</v>
      </c>
      <c r="L428" s="3" t="s">
        <v>1912</v>
      </c>
      <c r="M428" s="3" t="s">
        <v>1689</v>
      </c>
      <c r="N428" s="11" t="s">
        <v>1913</v>
      </c>
    </row>
    <row r="429" customFormat="false" ht="15" hidden="false" customHeight="false" outlineLevel="0" collapsed="false">
      <c r="A429" s="3" t="n">
        <v>425</v>
      </c>
      <c r="B429" s="8" t="n">
        <v>45930</v>
      </c>
      <c r="C429" s="3" t="s">
        <v>852</v>
      </c>
      <c r="D429" s="3" t="s">
        <v>136</v>
      </c>
      <c r="E429" s="9" t="n">
        <v>4195.77</v>
      </c>
      <c r="F429" s="9"/>
      <c r="G429" s="9" t="n">
        <f aca="false">N(F429)-N(E429)</f>
        <v>-4195.77</v>
      </c>
      <c r="H429" s="3" t="n">
        <f aca="false">MONTH(B429)</f>
        <v>9</v>
      </c>
      <c r="I429" s="3" t="s">
        <v>1911</v>
      </c>
      <c r="J429" s="3" t="s">
        <v>1883</v>
      </c>
      <c r="K429" s="3" t="s">
        <v>1884</v>
      </c>
      <c r="L429" s="3" t="s">
        <v>1912</v>
      </c>
      <c r="M429" s="3" t="s">
        <v>1689</v>
      </c>
      <c r="N429" s="11" t="s">
        <v>1913</v>
      </c>
    </row>
    <row r="430" customFormat="false" ht="15" hidden="false" customHeight="false" outlineLevel="0" collapsed="false">
      <c r="A430" s="3" t="n">
        <v>426</v>
      </c>
      <c r="B430" s="8" t="n">
        <v>45930</v>
      </c>
      <c r="C430" s="3" t="s">
        <v>853</v>
      </c>
      <c r="D430" s="3" t="s">
        <v>854</v>
      </c>
      <c r="E430" s="9" t="n">
        <v>200</v>
      </c>
      <c r="F430" s="9"/>
      <c r="G430" s="9" t="n">
        <f aca="false">N(F430)-N(E430)</f>
        <v>-200</v>
      </c>
      <c r="H430" s="3" t="n">
        <f aca="false">MONTH(B430)</f>
        <v>9</v>
      </c>
      <c r="I430" s="3" t="s">
        <v>1911</v>
      </c>
      <c r="J430" s="3" t="s">
        <v>1883</v>
      </c>
      <c r="K430" s="3" t="s">
        <v>1884</v>
      </c>
      <c r="L430" s="3" t="s">
        <v>1912</v>
      </c>
      <c r="M430" s="3" t="s">
        <v>1689</v>
      </c>
      <c r="N430" s="11" t="s">
        <v>1913</v>
      </c>
    </row>
    <row r="431" customFormat="false" ht="15" hidden="false" customHeight="false" outlineLevel="0" collapsed="false">
      <c r="A431" s="3" t="n">
        <v>427</v>
      </c>
      <c r="B431" s="8" t="n">
        <v>45930</v>
      </c>
      <c r="C431" s="3" t="s">
        <v>855</v>
      </c>
      <c r="D431" s="3" t="s">
        <v>140</v>
      </c>
      <c r="E431" s="9" t="n">
        <v>667.18</v>
      </c>
      <c r="F431" s="9"/>
      <c r="G431" s="9" t="n">
        <f aca="false">N(F431)-N(E431)</f>
        <v>-667.18</v>
      </c>
      <c r="H431" s="3" t="n">
        <f aca="false">MONTH(B431)</f>
        <v>9</v>
      </c>
      <c r="I431" s="3" t="s">
        <v>1911</v>
      </c>
      <c r="J431" s="3" t="s">
        <v>1883</v>
      </c>
      <c r="K431" s="3" t="s">
        <v>1884</v>
      </c>
      <c r="L431" s="3" t="s">
        <v>1912</v>
      </c>
      <c r="M431" s="3" t="s">
        <v>1689</v>
      </c>
      <c r="N431" s="11" t="s">
        <v>1913</v>
      </c>
    </row>
    <row r="432" customFormat="false" ht="15" hidden="false" customHeight="false" outlineLevel="0" collapsed="false">
      <c r="A432" s="3" t="n">
        <v>428</v>
      </c>
      <c r="B432" s="8" t="n">
        <v>45930</v>
      </c>
      <c r="C432" s="3" t="s">
        <v>856</v>
      </c>
      <c r="D432" s="3" t="s">
        <v>857</v>
      </c>
      <c r="E432" s="9" t="n">
        <v>950</v>
      </c>
      <c r="F432" s="9"/>
      <c r="G432" s="9" t="n">
        <f aca="false">N(F432)-N(E432)</f>
        <v>-950</v>
      </c>
      <c r="H432" s="3" t="n">
        <f aca="false">MONTH(B432)</f>
        <v>9</v>
      </c>
      <c r="I432" s="3" t="s">
        <v>1914</v>
      </c>
      <c r="J432" s="3" t="s">
        <v>1883</v>
      </c>
      <c r="K432" s="3" t="s">
        <v>1884</v>
      </c>
      <c r="L432" s="3" t="s">
        <v>1912</v>
      </c>
      <c r="M432" s="3" t="s">
        <v>1689</v>
      </c>
      <c r="N432" s="11" t="s">
        <v>1913</v>
      </c>
    </row>
    <row r="433" customFormat="false" ht="15" hidden="false" customHeight="false" outlineLevel="0" collapsed="false">
      <c r="A433" s="3" t="n">
        <v>429</v>
      </c>
      <c r="B433" s="8" t="n">
        <v>45932</v>
      </c>
      <c r="C433" s="3" t="s">
        <v>858</v>
      </c>
      <c r="D433" s="3" t="s">
        <v>859</v>
      </c>
      <c r="E433" s="9"/>
      <c r="F433" s="9" t="n">
        <v>4123200</v>
      </c>
      <c r="G433" s="9" t="n">
        <f aca="false">N(F433)-N(E433)</f>
        <v>4123200</v>
      </c>
      <c r="H433" s="3" t="n">
        <f aca="false">MONTH(B433)</f>
        <v>10</v>
      </c>
      <c r="I433" s="3" t="s">
        <v>1882</v>
      </c>
      <c r="J433" s="3" t="s">
        <v>1883</v>
      </c>
      <c r="K433" s="3" t="s">
        <v>1884</v>
      </c>
      <c r="L433" s="3" t="s">
        <v>1885</v>
      </c>
      <c r="M433" s="3" t="s">
        <v>1691</v>
      </c>
      <c r="N433" s="11"/>
    </row>
    <row r="434" customFormat="false" ht="15" hidden="false" customHeight="false" outlineLevel="0" collapsed="false">
      <c r="A434" s="3" t="n">
        <v>430</v>
      </c>
      <c r="B434" s="8" t="n">
        <v>45932</v>
      </c>
      <c r="C434" s="3" t="s">
        <v>860</v>
      </c>
      <c r="D434" s="3" t="s">
        <v>861</v>
      </c>
      <c r="E434" s="9" t="n">
        <v>2484200</v>
      </c>
      <c r="F434" s="9"/>
      <c r="G434" s="9" t="n">
        <f aca="false">N(F434)-N(E434)</f>
        <v>-2484200</v>
      </c>
      <c r="H434" s="3" t="n">
        <f aca="false">MONTH(B434)</f>
        <v>10</v>
      </c>
      <c r="I434" s="3" t="s">
        <v>1899</v>
      </c>
      <c r="J434" s="3" t="s">
        <v>1883</v>
      </c>
      <c r="K434" s="3" t="s">
        <v>1884</v>
      </c>
      <c r="L434" s="3" t="s">
        <v>1915</v>
      </c>
      <c r="M434" s="3" t="s">
        <v>1687</v>
      </c>
      <c r="N434" s="11"/>
    </row>
    <row r="435" customFormat="false" ht="15" hidden="false" customHeight="false" outlineLevel="0" collapsed="false">
      <c r="A435" s="3" t="n">
        <v>431</v>
      </c>
      <c r="B435" s="8" t="n">
        <v>45936</v>
      </c>
      <c r="C435" s="3" t="s">
        <v>862</v>
      </c>
      <c r="D435" s="3" t="s">
        <v>863</v>
      </c>
      <c r="E435" s="9"/>
      <c r="F435" s="9" t="n">
        <v>5167300</v>
      </c>
      <c r="G435" s="9" t="n">
        <f aca="false">N(F435)-N(E435)</f>
        <v>5167300</v>
      </c>
      <c r="H435" s="3" t="n">
        <f aca="false">MONTH(B435)</f>
        <v>10</v>
      </c>
      <c r="I435" s="3" t="s">
        <v>1882</v>
      </c>
      <c r="J435" s="3" t="s">
        <v>1883</v>
      </c>
      <c r="K435" s="3" t="s">
        <v>1884</v>
      </c>
      <c r="L435" s="3" t="s">
        <v>1885</v>
      </c>
      <c r="M435" s="3" t="s">
        <v>1696</v>
      </c>
      <c r="N435" s="11"/>
    </row>
    <row r="436" customFormat="false" ht="15" hidden="false" customHeight="false" outlineLevel="0" collapsed="false">
      <c r="A436" s="3" t="n">
        <v>432</v>
      </c>
      <c r="B436" s="8" t="n">
        <v>45936</v>
      </c>
      <c r="C436" s="3" t="s">
        <v>864</v>
      </c>
      <c r="D436" s="3" t="s">
        <v>865</v>
      </c>
      <c r="E436" s="9"/>
      <c r="F436" s="9" t="n">
        <v>2235450</v>
      </c>
      <c r="G436" s="9" t="n">
        <f aca="false">N(F436)-N(E436)</f>
        <v>2235450</v>
      </c>
      <c r="H436" s="3" t="n">
        <f aca="false">MONTH(B436)</f>
        <v>10</v>
      </c>
      <c r="I436" s="3" t="s">
        <v>1886</v>
      </c>
      <c r="J436" s="3" t="s">
        <v>1883</v>
      </c>
      <c r="K436" s="3" t="s">
        <v>1884</v>
      </c>
      <c r="L436" s="3" t="s">
        <v>1885</v>
      </c>
      <c r="M436" s="3" t="s">
        <v>1698</v>
      </c>
      <c r="N436" s="11" t="s">
        <v>1887</v>
      </c>
    </row>
    <row r="437" customFormat="false" ht="15" hidden="false" customHeight="false" outlineLevel="0" collapsed="false">
      <c r="A437" s="12" t="n">
        <v>433</v>
      </c>
      <c r="B437" s="13" t="n">
        <v>45936</v>
      </c>
      <c r="C437" s="12" t="s">
        <v>866</v>
      </c>
      <c r="D437" s="12" t="s">
        <v>867</v>
      </c>
      <c r="E437" s="14"/>
      <c r="F437" s="14" t="n">
        <v>1775217.31</v>
      </c>
      <c r="G437" s="14" t="n">
        <f aca="false">N(F437)-N(E437)</f>
        <v>1775217.31</v>
      </c>
      <c r="H437" s="12" t="n">
        <f aca="false">MONTH(B437)</f>
        <v>10</v>
      </c>
      <c r="I437" s="12" t="s">
        <v>1895</v>
      </c>
      <c r="J437" s="12" t="s">
        <v>1883</v>
      </c>
      <c r="K437" s="12" t="s">
        <v>1896</v>
      </c>
      <c r="L437" s="12" t="s">
        <v>1885</v>
      </c>
      <c r="M437" s="12" t="s">
        <v>1699</v>
      </c>
      <c r="N437" s="15" t="s">
        <v>1897</v>
      </c>
    </row>
    <row r="438" customFormat="false" ht="15" hidden="false" customHeight="false" outlineLevel="0" collapsed="false">
      <c r="A438" s="3" t="n">
        <v>434</v>
      </c>
      <c r="B438" s="8" t="n">
        <v>45936</v>
      </c>
      <c r="C438" s="3" t="s">
        <v>868</v>
      </c>
      <c r="D438" s="3" t="s">
        <v>869</v>
      </c>
      <c r="E438" s="9" t="n">
        <v>3091900</v>
      </c>
      <c r="F438" s="9"/>
      <c r="G438" s="9" t="n">
        <f aca="false">N(F438)-N(E438)</f>
        <v>-3091900</v>
      </c>
      <c r="H438" s="3" t="n">
        <f aca="false">MONTH(B438)</f>
        <v>10</v>
      </c>
      <c r="I438" s="3" t="s">
        <v>1899</v>
      </c>
      <c r="J438" s="3" t="s">
        <v>1883</v>
      </c>
      <c r="K438" s="3" t="s">
        <v>1884</v>
      </c>
      <c r="L438" s="3" t="s">
        <v>1885</v>
      </c>
      <c r="M438" s="3" t="s">
        <v>1700</v>
      </c>
      <c r="N438" s="11"/>
    </row>
    <row r="439" customFormat="false" ht="15" hidden="false" customHeight="false" outlineLevel="0" collapsed="false">
      <c r="A439" s="3" t="n">
        <v>435</v>
      </c>
      <c r="B439" s="8" t="n">
        <v>45936</v>
      </c>
      <c r="C439" s="3" t="s">
        <v>870</v>
      </c>
      <c r="D439" s="3" t="s">
        <v>871</v>
      </c>
      <c r="E439" s="9" t="n">
        <v>272100</v>
      </c>
      <c r="F439" s="9"/>
      <c r="G439" s="9" t="n">
        <f aca="false">N(F439)-N(E439)</f>
        <v>-272100</v>
      </c>
      <c r="H439" s="3" t="n">
        <f aca="false">MONTH(B439)</f>
        <v>10</v>
      </c>
      <c r="I439" s="3" t="s">
        <v>1888</v>
      </c>
      <c r="J439" s="3" t="s">
        <v>1883</v>
      </c>
      <c r="K439" s="3" t="s">
        <v>1884</v>
      </c>
      <c r="L439" s="3" t="s">
        <v>1885</v>
      </c>
      <c r="M439" s="3" t="s">
        <v>1693</v>
      </c>
      <c r="N439" s="11"/>
    </row>
    <row r="440" customFormat="false" ht="15" hidden="false" customHeight="false" outlineLevel="0" collapsed="false">
      <c r="A440" s="3" t="n">
        <v>436</v>
      </c>
      <c r="B440" s="8" t="n">
        <v>45936</v>
      </c>
      <c r="C440" s="3" t="s">
        <v>872</v>
      </c>
      <c r="D440" s="3" t="s">
        <v>873</v>
      </c>
      <c r="E440" s="9" t="n">
        <v>85000</v>
      </c>
      <c r="F440" s="9"/>
      <c r="G440" s="9" t="n">
        <f aca="false">N(F440)-N(E440)</f>
        <v>-85000</v>
      </c>
      <c r="H440" s="3" t="n">
        <f aca="false">MONTH(B440)</f>
        <v>10</v>
      </c>
      <c r="I440" s="3" t="s">
        <v>1888</v>
      </c>
      <c r="J440" s="3" t="s">
        <v>1883</v>
      </c>
      <c r="K440" s="3" t="s">
        <v>1884</v>
      </c>
      <c r="L440" s="3" t="s">
        <v>1885</v>
      </c>
      <c r="M440" s="3" t="s">
        <v>1701</v>
      </c>
      <c r="N440" s="11"/>
    </row>
    <row r="441" customFormat="false" ht="15" hidden="false" customHeight="false" outlineLevel="0" collapsed="false">
      <c r="A441" s="3" t="n">
        <v>437</v>
      </c>
      <c r="B441" s="8" t="n">
        <v>45937</v>
      </c>
      <c r="C441" s="3" t="s">
        <v>874</v>
      </c>
      <c r="D441" s="3" t="s">
        <v>875</v>
      </c>
      <c r="E441" s="9" t="n">
        <v>1500000</v>
      </c>
      <c r="F441" s="9"/>
      <c r="G441" s="9" t="n">
        <f aca="false">N(F441)-N(E441)</f>
        <v>-1500000</v>
      </c>
      <c r="H441" s="3" t="n">
        <f aca="false">MONTH(B441)</f>
        <v>10</v>
      </c>
      <c r="I441" s="3" t="s">
        <v>1889</v>
      </c>
      <c r="J441" s="3" t="s">
        <v>1883</v>
      </c>
      <c r="K441" s="3" t="s">
        <v>1884</v>
      </c>
      <c r="L441" s="3" t="s">
        <v>1885</v>
      </c>
      <c r="M441" s="3" t="s">
        <v>1694</v>
      </c>
      <c r="N441" s="11"/>
    </row>
    <row r="442" customFormat="false" ht="15" hidden="false" customHeight="false" outlineLevel="0" collapsed="false">
      <c r="A442" s="3" t="n">
        <v>438</v>
      </c>
      <c r="B442" s="8" t="n">
        <v>45938</v>
      </c>
      <c r="C442" s="3" t="s">
        <v>876</v>
      </c>
      <c r="D442" s="3" t="s">
        <v>877</v>
      </c>
      <c r="E442" s="9" t="n">
        <v>232191.94</v>
      </c>
      <c r="F442" s="9"/>
      <c r="G442" s="9" t="n">
        <f aca="false">N(F442)-N(E442)</f>
        <v>-232191.94</v>
      </c>
      <c r="H442" s="3" t="n">
        <f aca="false">MONTH(B442)</f>
        <v>10</v>
      </c>
      <c r="I442" s="3" t="s">
        <v>1893</v>
      </c>
      <c r="J442" s="3" t="s">
        <v>1883</v>
      </c>
      <c r="K442" s="3" t="s">
        <v>1884</v>
      </c>
      <c r="L442" s="3" t="s">
        <v>1885</v>
      </c>
      <c r="M442" s="3" t="s">
        <v>1705</v>
      </c>
      <c r="N442" s="11" t="s">
        <v>1894</v>
      </c>
    </row>
    <row r="443" customFormat="false" ht="15" hidden="false" customHeight="false" outlineLevel="0" collapsed="false">
      <c r="A443" s="3" t="n">
        <v>439</v>
      </c>
      <c r="B443" s="8" t="n">
        <v>45938</v>
      </c>
      <c r="C443" s="3" t="s">
        <v>878</v>
      </c>
      <c r="D443" s="3" t="s">
        <v>879</v>
      </c>
      <c r="E443" s="9" t="n">
        <v>2716500</v>
      </c>
      <c r="F443" s="9"/>
      <c r="G443" s="9" t="n">
        <f aca="false">N(F443)-N(E443)</f>
        <v>-2716500</v>
      </c>
      <c r="H443" s="3" t="n">
        <f aca="false">MONTH(B443)</f>
        <v>10</v>
      </c>
      <c r="I443" s="3" t="s">
        <v>1899</v>
      </c>
      <c r="J443" s="3" t="s">
        <v>1883</v>
      </c>
      <c r="K443" s="3" t="s">
        <v>1884</v>
      </c>
      <c r="L443" s="3" t="s">
        <v>1935</v>
      </c>
      <c r="M443" s="3" t="s">
        <v>1702</v>
      </c>
      <c r="N443" s="11" t="s">
        <v>1972</v>
      </c>
    </row>
    <row r="444" customFormat="false" ht="15" hidden="false" customHeight="false" outlineLevel="0" collapsed="false">
      <c r="A444" s="12" t="n">
        <v>440</v>
      </c>
      <c r="B444" s="13" t="n">
        <v>45939</v>
      </c>
      <c r="C444" s="12" t="s">
        <v>880</v>
      </c>
      <c r="D444" s="12" t="s">
        <v>881</v>
      </c>
      <c r="E444" s="14"/>
      <c r="F444" s="14" t="n">
        <v>2845600</v>
      </c>
      <c r="G444" s="14" t="n">
        <f aca="false">N(F444)-N(E444)</f>
        <v>2845600</v>
      </c>
      <c r="H444" s="12" t="n">
        <f aca="false">MONTH(B444)</f>
        <v>10</v>
      </c>
      <c r="I444" s="12" t="s">
        <v>1882</v>
      </c>
      <c r="J444" s="12" t="s">
        <v>1883</v>
      </c>
      <c r="K444" s="12" t="s">
        <v>1896</v>
      </c>
      <c r="L444" s="12" t="s">
        <v>1885</v>
      </c>
      <c r="M444" s="12" t="s">
        <v>1708</v>
      </c>
      <c r="N444" s="15" t="s">
        <v>1907</v>
      </c>
    </row>
    <row r="445" customFormat="false" ht="15" hidden="false" customHeight="false" outlineLevel="0" collapsed="false">
      <c r="A445" s="3" t="n">
        <v>441</v>
      </c>
      <c r="B445" s="8" t="n">
        <v>45939</v>
      </c>
      <c r="C445" s="3" t="s">
        <v>882</v>
      </c>
      <c r="D445" s="3" t="s">
        <v>883</v>
      </c>
      <c r="E445" s="9"/>
      <c r="F445" s="9" t="n">
        <v>918862.01</v>
      </c>
      <c r="G445" s="9" t="n">
        <f aca="false">N(F445)-N(E445)</f>
        <v>918862.01</v>
      </c>
      <c r="H445" s="3" t="n">
        <f aca="false">MONTH(B445)</f>
        <v>10</v>
      </c>
      <c r="I445" s="3" t="s">
        <v>1891</v>
      </c>
      <c r="J445" s="3" t="s">
        <v>1883</v>
      </c>
      <c r="K445" s="3" t="s">
        <v>1884</v>
      </c>
      <c r="L445" s="3" t="s">
        <v>1885</v>
      </c>
      <c r="M445" s="3" t="s">
        <v>1709</v>
      </c>
      <c r="N445" s="11" t="s">
        <v>1892</v>
      </c>
    </row>
    <row r="446" customFormat="false" ht="15" hidden="false" customHeight="false" outlineLevel="0" collapsed="false">
      <c r="A446" s="12" t="n">
        <v>442</v>
      </c>
      <c r="B446" s="13" t="n">
        <v>45939</v>
      </c>
      <c r="C446" s="12" t="s">
        <v>884</v>
      </c>
      <c r="D446" s="12" t="s">
        <v>885</v>
      </c>
      <c r="E446" s="14" t="n">
        <v>681000</v>
      </c>
      <c r="F446" s="14"/>
      <c r="G446" s="14" t="n">
        <f aca="false">N(F446)-N(E446)</f>
        <v>-681000</v>
      </c>
      <c r="H446" s="12" t="n">
        <f aca="false">MONTH(B446)</f>
        <v>10</v>
      </c>
      <c r="I446" s="12" t="s">
        <v>1908</v>
      </c>
      <c r="J446" s="12" t="s">
        <v>1883</v>
      </c>
      <c r="K446" s="12" t="s">
        <v>1896</v>
      </c>
      <c r="L446" s="12" t="s">
        <v>1885</v>
      </c>
      <c r="M446" s="12" t="s">
        <v>1704</v>
      </c>
      <c r="N446" s="15" t="s">
        <v>1909</v>
      </c>
    </row>
    <row r="447" customFormat="false" ht="15" hidden="false" customHeight="false" outlineLevel="0" collapsed="false">
      <c r="A447" s="3" t="n">
        <v>443</v>
      </c>
      <c r="B447" s="8" t="n">
        <v>45940</v>
      </c>
      <c r="C447" s="3" t="s">
        <v>886</v>
      </c>
      <c r="D447" s="3" t="s">
        <v>887</v>
      </c>
      <c r="E447" s="9" t="n">
        <v>487060</v>
      </c>
      <c r="F447" s="9"/>
      <c r="G447" s="9" t="n">
        <f aca="false">N(F447)-N(E447)</f>
        <v>-487060</v>
      </c>
      <c r="H447" s="3" t="n">
        <f aca="false">MONTH(B447)</f>
        <v>10</v>
      </c>
      <c r="I447" s="3" t="s">
        <v>1898</v>
      </c>
      <c r="J447" s="3" t="s">
        <v>1883</v>
      </c>
      <c r="K447" s="3" t="s">
        <v>1884</v>
      </c>
      <c r="L447" s="3" t="s">
        <v>1885</v>
      </c>
      <c r="M447" s="3" t="s">
        <v>1710</v>
      </c>
      <c r="N447" s="11"/>
    </row>
    <row r="448" customFormat="false" ht="15" hidden="false" customHeight="false" outlineLevel="0" collapsed="false">
      <c r="A448" s="3" t="n">
        <v>444</v>
      </c>
      <c r="B448" s="8" t="n">
        <v>45940</v>
      </c>
      <c r="C448" s="3" t="s">
        <v>888</v>
      </c>
      <c r="D448" s="3" t="s">
        <v>889</v>
      </c>
      <c r="E448" s="9" t="n">
        <v>1057421.95</v>
      </c>
      <c r="F448" s="9"/>
      <c r="G448" s="9" t="n">
        <f aca="false">N(F448)-N(E448)</f>
        <v>-1057421.95</v>
      </c>
      <c r="H448" s="3" t="n">
        <f aca="false">MONTH(B448)</f>
        <v>10</v>
      </c>
      <c r="I448" s="3" t="s">
        <v>1944</v>
      </c>
      <c r="J448" s="3" t="s">
        <v>1920</v>
      </c>
      <c r="K448" s="3" t="s">
        <v>1884</v>
      </c>
      <c r="L448" s="3" t="s">
        <v>1939</v>
      </c>
      <c r="M448" s="3" t="s">
        <v>1940</v>
      </c>
      <c r="N448" s="11" t="s">
        <v>1945</v>
      </c>
    </row>
    <row r="449" customFormat="false" ht="15" hidden="false" customHeight="false" outlineLevel="0" collapsed="false">
      <c r="A449" s="3" t="n">
        <v>445</v>
      </c>
      <c r="B449" s="8" t="n">
        <v>45943</v>
      </c>
      <c r="C449" s="3" t="s">
        <v>890</v>
      </c>
      <c r="D449" s="3" t="s">
        <v>891</v>
      </c>
      <c r="E449" s="9"/>
      <c r="F449" s="9" t="n">
        <v>1330200</v>
      </c>
      <c r="G449" s="9" t="n">
        <f aca="false">N(F449)-N(E449)</f>
        <v>1330200</v>
      </c>
      <c r="H449" s="3" t="n">
        <f aca="false">MONTH(B449)</f>
        <v>10</v>
      </c>
      <c r="I449" s="3" t="s">
        <v>1882</v>
      </c>
      <c r="J449" s="3" t="s">
        <v>1883</v>
      </c>
      <c r="K449" s="3" t="s">
        <v>1884</v>
      </c>
      <c r="L449" s="3" t="s">
        <v>1885</v>
      </c>
      <c r="M449" s="3" t="s">
        <v>1712</v>
      </c>
      <c r="N449" s="11"/>
    </row>
    <row r="450" customFormat="false" ht="15" hidden="false" customHeight="false" outlineLevel="0" collapsed="false">
      <c r="A450" s="3" t="n">
        <v>446</v>
      </c>
      <c r="B450" s="8" t="n">
        <v>45943</v>
      </c>
      <c r="C450" s="3" t="s">
        <v>892</v>
      </c>
      <c r="D450" s="3" t="s">
        <v>893</v>
      </c>
      <c r="E450" s="9"/>
      <c r="F450" s="9" t="n">
        <v>1425652.05</v>
      </c>
      <c r="G450" s="9" t="n">
        <f aca="false">N(F450)-N(E450)</f>
        <v>1425652.05</v>
      </c>
      <c r="H450" s="3" t="n">
        <f aca="false">MONTH(B450)</f>
        <v>10</v>
      </c>
      <c r="I450" s="3" t="s">
        <v>1886</v>
      </c>
      <c r="J450" s="3" t="s">
        <v>1883</v>
      </c>
      <c r="K450" s="3" t="s">
        <v>1884</v>
      </c>
      <c r="L450" s="3" t="s">
        <v>1885</v>
      </c>
      <c r="M450" s="3" t="s">
        <v>1714</v>
      </c>
      <c r="N450" s="11" t="s">
        <v>1887</v>
      </c>
    </row>
    <row r="451" customFormat="false" ht="15" hidden="false" customHeight="false" outlineLevel="0" collapsed="false">
      <c r="A451" s="12" t="n">
        <v>447</v>
      </c>
      <c r="B451" s="13" t="n">
        <v>45943</v>
      </c>
      <c r="C451" s="12" t="s">
        <v>894</v>
      </c>
      <c r="D451" s="12" t="s">
        <v>192</v>
      </c>
      <c r="E451" s="14"/>
      <c r="F451" s="14" t="n">
        <v>845454.11</v>
      </c>
      <c r="G451" s="14" t="n">
        <f aca="false">N(F451)-N(E451)</f>
        <v>845454.11</v>
      </c>
      <c r="H451" s="12" t="n">
        <f aca="false">MONTH(B451)</f>
        <v>10</v>
      </c>
      <c r="I451" s="12" t="s">
        <v>1895</v>
      </c>
      <c r="J451" s="12" t="s">
        <v>1883</v>
      </c>
      <c r="K451" s="12" t="s">
        <v>1896</v>
      </c>
      <c r="L451" s="12" t="s">
        <v>1885</v>
      </c>
      <c r="M451" s="12" t="s">
        <v>1715</v>
      </c>
      <c r="N451" s="15" t="s">
        <v>1897</v>
      </c>
    </row>
    <row r="452" customFormat="false" ht="15" hidden="false" customHeight="false" outlineLevel="0" collapsed="false">
      <c r="A452" s="3" t="n">
        <v>448</v>
      </c>
      <c r="B452" s="8" t="n">
        <v>45943</v>
      </c>
      <c r="C452" s="3" t="s">
        <v>895</v>
      </c>
      <c r="D452" s="3" t="s">
        <v>896</v>
      </c>
      <c r="E452" s="9" t="n">
        <v>111884.35</v>
      </c>
      <c r="F452" s="9"/>
      <c r="G452" s="9" t="n">
        <f aca="false">N(F452)-N(E452)</f>
        <v>-111884.35</v>
      </c>
      <c r="H452" s="3" t="n">
        <f aca="false">MONTH(B452)</f>
        <v>10</v>
      </c>
      <c r="I452" s="3" t="s">
        <v>1900</v>
      </c>
      <c r="J452" s="3" t="s">
        <v>1883</v>
      </c>
      <c r="K452" s="3" t="s">
        <v>1884</v>
      </c>
      <c r="L452" s="3" t="s">
        <v>1885</v>
      </c>
      <c r="M452" s="3" t="s">
        <v>1716</v>
      </c>
      <c r="N452" s="11"/>
    </row>
    <row r="453" customFormat="false" ht="15" hidden="false" customHeight="false" outlineLevel="0" collapsed="false">
      <c r="A453" s="3" t="n">
        <v>449</v>
      </c>
      <c r="B453" s="8" t="n">
        <v>45944</v>
      </c>
      <c r="C453" s="3" t="s">
        <v>897</v>
      </c>
      <c r="D453" s="3" t="s">
        <v>898</v>
      </c>
      <c r="E453" s="9" t="n">
        <v>182400</v>
      </c>
      <c r="F453" s="9"/>
      <c r="G453" s="9" t="n">
        <f aca="false">N(F453)-N(E453)</f>
        <v>-182400</v>
      </c>
      <c r="H453" s="3" t="n">
        <f aca="false">MONTH(B453)</f>
        <v>10</v>
      </c>
      <c r="I453" s="3" t="s">
        <v>1888</v>
      </c>
      <c r="J453" s="3" t="s">
        <v>1883</v>
      </c>
      <c r="K453" s="3" t="s">
        <v>1884</v>
      </c>
      <c r="L453" s="3" t="s">
        <v>1885</v>
      </c>
      <c r="M453" s="3" t="s">
        <v>1717</v>
      </c>
      <c r="N453" s="11"/>
    </row>
    <row r="454" customFormat="false" ht="15" hidden="false" customHeight="false" outlineLevel="0" collapsed="false">
      <c r="A454" s="12" t="n">
        <v>450</v>
      </c>
      <c r="B454" s="13" t="n">
        <v>45944</v>
      </c>
      <c r="C454" s="12" t="s">
        <v>899</v>
      </c>
      <c r="D454" s="12" t="s">
        <v>900</v>
      </c>
      <c r="E454" s="14" t="n">
        <v>240000</v>
      </c>
      <c r="F454" s="14"/>
      <c r="G454" s="14" t="n">
        <f aca="false">N(F454)-N(E454)</f>
        <v>-240000</v>
      </c>
      <c r="H454" s="12" t="n">
        <f aca="false">MONTH(B454)</f>
        <v>10</v>
      </c>
      <c r="I454" s="12" t="s">
        <v>1908</v>
      </c>
      <c r="J454" s="12" t="s">
        <v>1883</v>
      </c>
      <c r="K454" s="12" t="s">
        <v>1896</v>
      </c>
      <c r="L454" s="12" t="s">
        <v>1885</v>
      </c>
      <c r="M454" s="12" t="s">
        <v>1718</v>
      </c>
      <c r="N454" s="15" t="s">
        <v>1909</v>
      </c>
    </row>
    <row r="455" customFormat="false" ht="15" hidden="false" customHeight="false" outlineLevel="0" collapsed="false">
      <c r="A455" s="12" t="n">
        <v>451</v>
      </c>
      <c r="B455" s="13" t="n">
        <v>45945</v>
      </c>
      <c r="C455" s="12" t="s">
        <v>901</v>
      </c>
      <c r="D455" s="12" t="s">
        <v>353</v>
      </c>
      <c r="E455" s="14"/>
      <c r="F455" s="14" t="n">
        <v>1511600</v>
      </c>
      <c r="G455" s="14" t="n">
        <f aca="false">N(F455)-N(E455)</f>
        <v>1511600</v>
      </c>
      <c r="H455" s="12" t="n">
        <f aca="false">MONTH(B455)</f>
        <v>10</v>
      </c>
      <c r="I455" s="12" t="s">
        <v>1882</v>
      </c>
      <c r="J455" s="12" t="s">
        <v>1883</v>
      </c>
      <c r="K455" s="12" t="s">
        <v>1896</v>
      </c>
      <c r="L455" s="12" t="s">
        <v>1885</v>
      </c>
      <c r="M455" s="12" t="s">
        <v>1719</v>
      </c>
      <c r="N455" s="15" t="s">
        <v>1907</v>
      </c>
    </row>
    <row r="456" customFormat="false" ht="15" hidden="false" customHeight="false" outlineLevel="0" collapsed="false">
      <c r="A456" s="3" t="n">
        <v>452</v>
      </c>
      <c r="B456" s="8" t="n">
        <v>45945</v>
      </c>
      <c r="C456" s="3" t="s">
        <v>902</v>
      </c>
      <c r="D456" s="3" t="s">
        <v>903</v>
      </c>
      <c r="E456" s="9" t="n">
        <v>1151500</v>
      </c>
      <c r="F456" s="9"/>
      <c r="G456" s="9" t="n">
        <f aca="false">N(F456)-N(E456)</f>
        <v>-1151500</v>
      </c>
      <c r="H456" s="3" t="n">
        <f aca="false">MONTH(B456)</f>
        <v>10</v>
      </c>
      <c r="I456" s="3" t="s">
        <v>1899</v>
      </c>
      <c r="J456" s="3" t="s">
        <v>1883</v>
      </c>
      <c r="K456" s="3" t="s">
        <v>1884</v>
      </c>
      <c r="L456" s="3" t="s">
        <v>1885</v>
      </c>
      <c r="M456" s="3" t="s">
        <v>1706</v>
      </c>
      <c r="N456" s="11"/>
    </row>
    <row r="457" customFormat="false" ht="15" hidden="false" customHeight="false" outlineLevel="0" collapsed="false">
      <c r="A457" s="3" t="n">
        <v>453</v>
      </c>
      <c r="B457" s="8" t="n">
        <v>45945</v>
      </c>
      <c r="C457" s="3" t="s">
        <v>904</v>
      </c>
      <c r="D457" s="3" t="s">
        <v>905</v>
      </c>
      <c r="E457" s="9" t="n">
        <v>894600</v>
      </c>
      <c r="F457" s="9"/>
      <c r="G457" s="9" t="n">
        <f aca="false">N(F457)-N(E457)</f>
        <v>-894600</v>
      </c>
      <c r="H457" s="3" t="n">
        <f aca="false">MONTH(B457)</f>
        <v>10</v>
      </c>
      <c r="I457" s="3" t="s">
        <v>1903</v>
      </c>
      <c r="J457" s="3" t="s">
        <v>1883</v>
      </c>
      <c r="K457" s="3" t="s">
        <v>1884</v>
      </c>
      <c r="L457" s="3" t="s">
        <v>1885</v>
      </c>
      <c r="M457" s="3" t="s">
        <v>1721</v>
      </c>
      <c r="N457" s="11"/>
    </row>
    <row r="458" customFormat="false" ht="15" hidden="false" customHeight="false" outlineLevel="0" collapsed="false">
      <c r="A458" s="3" t="n">
        <v>454</v>
      </c>
      <c r="B458" s="8" t="n">
        <v>45945</v>
      </c>
      <c r="C458" s="3" t="s">
        <v>906</v>
      </c>
      <c r="D458" s="3" t="s">
        <v>907</v>
      </c>
      <c r="E458" s="9" t="n">
        <v>259408.44</v>
      </c>
      <c r="F458" s="9"/>
      <c r="G458" s="9" t="n">
        <f aca="false">N(F458)-N(E458)</f>
        <v>-259408.44</v>
      </c>
      <c r="H458" s="3" t="n">
        <f aca="false">MONTH(B458)</f>
        <v>10</v>
      </c>
      <c r="I458" s="3" t="s">
        <v>1901</v>
      </c>
      <c r="J458" s="3" t="s">
        <v>1883</v>
      </c>
      <c r="K458" s="3" t="s">
        <v>1884</v>
      </c>
      <c r="L458" s="3" t="s">
        <v>1885</v>
      </c>
      <c r="M458" s="3" t="s">
        <v>1720</v>
      </c>
      <c r="N458" s="11" t="s">
        <v>1902</v>
      </c>
    </row>
    <row r="459" customFormat="false" ht="15" hidden="false" customHeight="false" outlineLevel="0" collapsed="false">
      <c r="A459" s="16" t="n">
        <v>455</v>
      </c>
      <c r="B459" s="17" t="n">
        <v>45945</v>
      </c>
      <c r="C459" s="16" t="s">
        <v>908</v>
      </c>
      <c r="D459" s="16" t="s">
        <v>909</v>
      </c>
      <c r="E459" s="18"/>
      <c r="F459" s="18" t="n">
        <v>5000000</v>
      </c>
      <c r="G459" s="18" t="n">
        <f aca="false">N(F459)-N(E459)</f>
        <v>5000000</v>
      </c>
      <c r="H459" s="16" t="n">
        <f aca="false">MONTH(B459)</f>
        <v>10</v>
      </c>
      <c r="I459" s="16" t="s">
        <v>1953</v>
      </c>
      <c r="J459" s="16" t="s">
        <v>1926</v>
      </c>
      <c r="K459" s="16" t="s">
        <v>1921</v>
      </c>
      <c r="L459" s="16" t="s">
        <v>1885</v>
      </c>
      <c r="M459" s="16" t="s">
        <v>1723</v>
      </c>
      <c r="N459" s="19" t="s">
        <v>1973</v>
      </c>
    </row>
    <row r="460" customFormat="false" ht="15" hidden="false" customHeight="false" outlineLevel="0" collapsed="false">
      <c r="A460" s="3" t="n">
        <v>456</v>
      </c>
      <c r="B460" s="8" t="n">
        <v>45946</v>
      </c>
      <c r="C460" s="3" t="s">
        <v>910</v>
      </c>
      <c r="D460" s="3" t="s">
        <v>911</v>
      </c>
      <c r="E460" s="9" t="n">
        <v>1968500</v>
      </c>
      <c r="F460" s="9"/>
      <c r="G460" s="9" t="n">
        <f aca="false">N(F460)-N(E460)</f>
        <v>-1968500</v>
      </c>
      <c r="H460" s="3" t="n">
        <f aca="false">MONTH(B460)</f>
        <v>10</v>
      </c>
      <c r="I460" s="3" t="s">
        <v>1899</v>
      </c>
      <c r="J460" s="3" t="s">
        <v>1883</v>
      </c>
      <c r="K460" s="3" t="s">
        <v>1884</v>
      </c>
      <c r="L460" s="3" t="s">
        <v>1885</v>
      </c>
      <c r="M460" s="3" t="s">
        <v>1726</v>
      </c>
      <c r="N460" s="11"/>
    </row>
    <row r="461" customFormat="false" ht="15" hidden="false" customHeight="false" outlineLevel="0" collapsed="false">
      <c r="A461" s="3" t="n">
        <v>457</v>
      </c>
      <c r="B461" s="8" t="n">
        <v>45946</v>
      </c>
      <c r="C461" s="3" t="s">
        <v>912</v>
      </c>
      <c r="D461" s="3" t="s">
        <v>913</v>
      </c>
      <c r="E461" s="9" t="n">
        <v>1586000</v>
      </c>
      <c r="F461" s="9"/>
      <c r="G461" s="9" t="n">
        <f aca="false">N(F461)-N(E461)</f>
        <v>-1586000</v>
      </c>
      <c r="H461" s="3" t="n">
        <f aca="false">MONTH(B461)</f>
        <v>10</v>
      </c>
      <c r="I461" s="3" t="s">
        <v>1893</v>
      </c>
      <c r="J461" s="3" t="s">
        <v>1883</v>
      </c>
      <c r="K461" s="3" t="s">
        <v>1884</v>
      </c>
      <c r="L461" s="3" t="s">
        <v>1885</v>
      </c>
      <c r="M461" s="3" t="s">
        <v>1727</v>
      </c>
      <c r="N461" s="11"/>
    </row>
    <row r="462" customFormat="false" ht="15" hidden="false" customHeight="false" outlineLevel="0" collapsed="false">
      <c r="A462" s="3" t="n">
        <v>458</v>
      </c>
      <c r="B462" s="8" t="n">
        <v>45947</v>
      </c>
      <c r="C462" s="3" t="s">
        <v>914</v>
      </c>
      <c r="D462" s="3" t="s">
        <v>915</v>
      </c>
      <c r="E462" s="9"/>
      <c r="F462" s="9" t="n">
        <v>1327400</v>
      </c>
      <c r="G462" s="9" t="n">
        <f aca="false">N(F462)-N(E462)</f>
        <v>1327400</v>
      </c>
      <c r="H462" s="3" t="n">
        <f aca="false">MONTH(B462)</f>
        <v>10</v>
      </c>
      <c r="I462" s="3" t="s">
        <v>1882</v>
      </c>
      <c r="J462" s="3" t="s">
        <v>1883</v>
      </c>
      <c r="K462" s="3" t="s">
        <v>1884</v>
      </c>
      <c r="L462" s="3" t="s">
        <v>1885</v>
      </c>
      <c r="M462" s="3" t="s">
        <v>1730</v>
      </c>
      <c r="N462" s="11"/>
    </row>
    <row r="463" customFormat="false" ht="15" hidden="false" customHeight="false" outlineLevel="0" collapsed="false">
      <c r="A463" s="3" t="n">
        <v>459</v>
      </c>
      <c r="B463" s="8" t="n">
        <v>45947</v>
      </c>
      <c r="C463" s="3" t="s">
        <v>916</v>
      </c>
      <c r="D463" s="3" t="s">
        <v>917</v>
      </c>
      <c r="E463" s="9" t="n">
        <v>195523.21</v>
      </c>
      <c r="F463" s="9"/>
      <c r="G463" s="9" t="n">
        <f aca="false">N(F463)-N(E463)</f>
        <v>-195523.21</v>
      </c>
      <c r="H463" s="3" t="n">
        <f aca="false">MONTH(B463)</f>
        <v>10</v>
      </c>
      <c r="I463" s="3" t="s">
        <v>1893</v>
      </c>
      <c r="J463" s="3" t="s">
        <v>1883</v>
      </c>
      <c r="K463" s="3" t="s">
        <v>1884</v>
      </c>
      <c r="L463" s="3" t="s">
        <v>1885</v>
      </c>
      <c r="M463" s="3" t="s">
        <v>1732</v>
      </c>
      <c r="N463" s="11" t="s">
        <v>1894</v>
      </c>
    </row>
    <row r="464" customFormat="false" ht="15" hidden="false" customHeight="false" outlineLevel="0" collapsed="false">
      <c r="A464" s="12" t="n">
        <v>460</v>
      </c>
      <c r="B464" s="13" t="n">
        <v>45947</v>
      </c>
      <c r="C464" s="12" t="s">
        <v>918</v>
      </c>
      <c r="D464" s="12" t="s">
        <v>732</v>
      </c>
      <c r="E464" s="14" t="n">
        <v>596400</v>
      </c>
      <c r="F464" s="14"/>
      <c r="G464" s="14" t="n">
        <f aca="false">N(F464)-N(E464)</f>
        <v>-596400</v>
      </c>
      <c r="H464" s="12" t="n">
        <f aca="false">MONTH(B464)</f>
        <v>10</v>
      </c>
      <c r="I464" s="12" t="s">
        <v>1933</v>
      </c>
      <c r="J464" s="12" t="s">
        <v>1883</v>
      </c>
      <c r="K464" s="12" t="s">
        <v>1896</v>
      </c>
      <c r="L464" s="12" t="s">
        <v>1885</v>
      </c>
      <c r="M464" s="12" t="s">
        <v>1725</v>
      </c>
      <c r="N464" s="15" t="s">
        <v>1934</v>
      </c>
    </row>
    <row r="465" customFormat="false" ht="15" hidden="false" customHeight="false" outlineLevel="0" collapsed="false">
      <c r="A465" s="12" t="n">
        <v>461</v>
      </c>
      <c r="B465" s="13" t="n">
        <v>45950</v>
      </c>
      <c r="C465" s="12" t="s">
        <v>919</v>
      </c>
      <c r="D465" s="12" t="s">
        <v>920</v>
      </c>
      <c r="E465" s="14"/>
      <c r="F465" s="14" t="n">
        <v>2840100</v>
      </c>
      <c r="G465" s="14" t="n">
        <f aca="false">N(F465)-N(E465)</f>
        <v>2840100</v>
      </c>
      <c r="H465" s="12" t="n">
        <f aca="false">MONTH(B465)</f>
        <v>10</v>
      </c>
      <c r="I465" s="12" t="s">
        <v>1882</v>
      </c>
      <c r="J465" s="12" t="s">
        <v>1883</v>
      </c>
      <c r="K465" s="12" t="s">
        <v>1896</v>
      </c>
      <c r="L465" s="12" t="s">
        <v>1885</v>
      </c>
      <c r="M465" s="12" t="s">
        <v>1733</v>
      </c>
      <c r="N465" s="15" t="s">
        <v>1907</v>
      </c>
    </row>
    <row r="466" customFormat="false" ht="15" hidden="false" customHeight="false" outlineLevel="0" collapsed="false">
      <c r="A466" s="3" t="n">
        <v>462</v>
      </c>
      <c r="B466" s="8" t="n">
        <v>45950</v>
      </c>
      <c r="C466" s="3" t="s">
        <v>921</v>
      </c>
      <c r="D466" s="3" t="s">
        <v>922</v>
      </c>
      <c r="E466" s="9"/>
      <c r="F466" s="9" t="n">
        <v>2190674.7</v>
      </c>
      <c r="G466" s="9" t="n">
        <f aca="false">N(F466)-N(E466)</f>
        <v>2190674.7</v>
      </c>
      <c r="H466" s="3" t="n">
        <f aca="false">MONTH(B466)</f>
        <v>10</v>
      </c>
      <c r="I466" s="3" t="s">
        <v>1886</v>
      </c>
      <c r="J466" s="3" t="s">
        <v>1883</v>
      </c>
      <c r="K466" s="3" t="s">
        <v>1884</v>
      </c>
      <c r="L466" s="3" t="s">
        <v>1885</v>
      </c>
      <c r="M466" s="3" t="s">
        <v>1734</v>
      </c>
      <c r="N466" s="11" t="s">
        <v>1887</v>
      </c>
    </row>
    <row r="467" customFormat="false" ht="15" hidden="false" customHeight="false" outlineLevel="0" collapsed="false">
      <c r="A467" s="3" t="n">
        <v>463</v>
      </c>
      <c r="B467" s="8" t="n">
        <v>45950</v>
      </c>
      <c r="C467" s="3" t="s">
        <v>923</v>
      </c>
      <c r="D467" s="3" t="s">
        <v>924</v>
      </c>
      <c r="E467" s="9" t="n">
        <v>2339500</v>
      </c>
      <c r="F467" s="9"/>
      <c r="G467" s="9" t="n">
        <f aca="false">N(F467)-N(E467)</f>
        <v>-2339500</v>
      </c>
      <c r="H467" s="3" t="n">
        <f aca="false">MONTH(B467)</f>
        <v>10</v>
      </c>
      <c r="I467" s="3" t="s">
        <v>1899</v>
      </c>
      <c r="J467" s="3" t="s">
        <v>1883</v>
      </c>
      <c r="K467" s="3" t="s">
        <v>1884</v>
      </c>
      <c r="L467" s="3" t="s">
        <v>1885</v>
      </c>
      <c r="M467" s="3" t="s">
        <v>1735</v>
      </c>
      <c r="N467" s="11"/>
    </row>
    <row r="468" customFormat="false" ht="15" hidden="false" customHeight="false" outlineLevel="0" collapsed="false">
      <c r="A468" s="12" t="n">
        <v>464</v>
      </c>
      <c r="B468" s="13" t="n">
        <v>45950</v>
      </c>
      <c r="C468" s="12" t="s">
        <v>925</v>
      </c>
      <c r="D468" s="12" t="s">
        <v>926</v>
      </c>
      <c r="E468" s="14" t="n">
        <v>640000</v>
      </c>
      <c r="F468" s="14"/>
      <c r="G468" s="14" t="n">
        <f aca="false">N(F468)-N(E468)</f>
        <v>-640000</v>
      </c>
      <c r="H468" s="12" t="n">
        <f aca="false">MONTH(B468)</f>
        <v>10</v>
      </c>
      <c r="I468" s="12" t="s">
        <v>1925</v>
      </c>
      <c r="J468" s="12" t="s">
        <v>1926</v>
      </c>
      <c r="K468" s="12" t="s">
        <v>1896</v>
      </c>
      <c r="L468" s="12" t="s">
        <v>1885</v>
      </c>
      <c r="M468" s="12" t="s">
        <v>1736</v>
      </c>
      <c r="N468" s="15" t="s">
        <v>1974</v>
      </c>
    </row>
    <row r="469" customFormat="false" ht="15" hidden="false" customHeight="false" outlineLevel="0" collapsed="false">
      <c r="A469" s="3" t="n">
        <v>465</v>
      </c>
      <c r="B469" s="8" t="n">
        <v>45951</v>
      </c>
      <c r="C469" s="3" t="s">
        <v>927</v>
      </c>
      <c r="D469" s="3" t="s">
        <v>928</v>
      </c>
      <c r="E469" s="9" t="n">
        <v>1686057.99</v>
      </c>
      <c r="F469" s="9"/>
      <c r="G469" s="9" t="n">
        <f aca="false">N(F469)-N(E469)</f>
        <v>-1686057.99</v>
      </c>
      <c r="H469" s="3" t="n">
        <f aca="false">MONTH(B469)</f>
        <v>10</v>
      </c>
      <c r="I469" s="3" t="s">
        <v>1904</v>
      </c>
      <c r="J469" s="3" t="s">
        <v>1883</v>
      </c>
      <c r="K469" s="3" t="s">
        <v>1884</v>
      </c>
      <c r="L469" s="3" t="s">
        <v>1885</v>
      </c>
      <c r="M469" s="3" t="s">
        <v>1728</v>
      </c>
      <c r="N469" s="11" t="s">
        <v>1905</v>
      </c>
    </row>
    <row r="470" customFormat="false" ht="15" hidden="false" customHeight="false" outlineLevel="0" collapsed="false">
      <c r="A470" s="12" t="n">
        <v>466</v>
      </c>
      <c r="B470" s="13" t="n">
        <v>45952</v>
      </c>
      <c r="C470" s="12" t="s">
        <v>929</v>
      </c>
      <c r="D470" s="12" t="s">
        <v>192</v>
      </c>
      <c r="E470" s="14"/>
      <c r="F470" s="14" t="n">
        <v>1693722.78</v>
      </c>
      <c r="G470" s="14" t="n">
        <f aca="false">N(F470)-N(E470)</f>
        <v>1693722.78</v>
      </c>
      <c r="H470" s="12" t="n">
        <f aca="false">MONTH(B470)</f>
        <v>10</v>
      </c>
      <c r="I470" s="12" t="s">
        <v>1895</v>
      </c>
      <c r="J470" s="12" t="s">
        <v>1883</v>
      </c>
      <c r="K470" s="12" t="s">
        <v>1896</v>
      </c>
      <c r="L470" s="12" t="s">
        <v>1885</v>
      </c>
      <c r="M470" s="12" t="s">
        <v>1740</v>
      </c>
      <c r="N470" s="15" t="s">
        <v>1897</v>
      </c>
    </row>
    <row r="471" customFormat="false" ht="15" hidden="false" customHeight="false" outlineLevel="0" collapsed="false">
      <c r="A471" s="3" t="n">
        <v>467</v>
      </c>
      <c r="B471" s="8" t="n">
        <v>45952</v>
      </c>
      <c r="C471" s="3" t="s">
        <v>930</v>
      </c>
      <c r="D471" s="3" t="s">
        <v>931</v>
      </c>
      <c r="E471" s="9" t="n">
        <v>139377.96</v>
      </c>
      <c r="F471" s="9"/>
      <c r="G471" s="9" t="n">
        <f aca="false">N(F471)-N(E471)</f>
        <v>-139377.96</v>
      </c>
      <c r="H471" s="3" t="n">
        <f aca="false">MONTH(B471)</f>
        <v>10</v>
      </c>
      <c r="I471" s="3" t="s">
        <v>1906</v>
      </c>
      <c r="J471" s="3" t="s">
        <v>1883</v>
      </c>
      <c r="K471" s="3" t="s">
        <v>1884</v>
      </c>
      <c r="L471" s="3" t="s">
        <v>1885</v>
      </c>
      <c r="M471" s="3" t="s">
        <v>1741</v>
      </c>
      <c r="N471" s="11"/>
    </row>
    <row r="472" customFormat="false" ht="15" hidden="false" customHeight="false" outlineLevel="0" collapsed="false">
      <c r="A472" s="3" t="n">
        <v>468</v>
      </c>
      <c r="B472" s="8" t="n">
        <v>45952</v>
      </c>
      <c r="C472" s="3" t="s">
        <v>932</v>
      </c>
      <c r="D472" s="3" t="s">
        <v>933</v>
      </c>
      <c r="E472" s="9" t="n">
        <v>132040.56</v>
      </c>
      <c r="F472" s="9"/>
      <c r="G472" s="9" t="n">
        <f aca="false">N(F472)-N(E472)</f>
        <v>-132040.56</v>
      </c>
      <c r="H472" s="3" t="n">
        <f aca="false">MONTH(B472)</f>
        <v>10</v>
      </c>
      <c r="I472" s="3" t="s">
        <v>1893</v>
      </c>
      <c r="J472" s="3" t="s">
        <v>1883</v>
      </c>
      <c r="K472" s="3" t="s">
        <v>1884</v>
      </c>
      <c r="L472" s="3" t="s">
        <v>1885</v>
      </c>
      <c r="M472" s="3" t="s">
        <v>1738</v>
      </c>
      <c r="N472" s="11" t="s">
        <v>1894</v>
      </c>
    </row>
    <row r="473" customFormat="false" ht="15" hidden="false" customHeight="false" outlineLevel="0" collapsed="false">
      <c r="A473" s="3" t="n">
        <v>469</v>
      </c>
      <c r="B473" s="8" t="n">
        <v>45952</v>
      </c>
      <c r="C473" s="3" t="s">
        <v>934</v>
      </c>
      <c r="D473" s="3" t="s">
        <v>935</v>
      </c>
      <c r="E473" s="9" t="n">
        <v>450000</v>
      </c>
      <c r="F473" s="9"/>
      <c r="G473" s="9" t="n">
        <f aca="false">N(F473)-N(E473)</f>
        <v>-450000</v>
      </c>
      <c r="H473" s="3" t="n">
        <f aca="false">MONTH(B473)</f>
        <v>10</v>
      </c>
      <c r="I473" s="3" t="s">
        <v>1955</v>
      </c>
      <c r="J473" s="3" t="s">
        <v>1883</v>
      </c>
      <c r="K473" s="3" t="s">
        <v>1884</v>
      </c>
      <c r="L473" s="3" t="s">
        <v>1885</v>
      </c>
      <c r="M473" s="3" t="s">
        <v>1742</v>
      </c>
      <c r="N473" s="11"/>
    </row>
    <row r="474" customFormat="false" ht="15" hidden="false" customHeight="false" outlineLevel="0" collapsed="false">
      <c r="A474" s="3" t="n">
        <v>470</v>
      </c>
      <c r="B474" s="8" t="n">
        <v>45953</v>
      </c>
      <c r="C474" s="3" t="s">
        <v>936</v>
      </c>
      <c r="D474" s="3" t="s">
        <v>937</v>
      </c>
      <c r="E474" s="9"/>
      <c r="F474" s="9" t="n">
        <v>777437.56</v>
      </c>
      <c r="G474" s="9" t="n">
        <f aca="false">N(F474)-N(E474)</f>
        <v>777437.56</v>
      </c>
      <c r="H474" s="3" t="n">
        <f aca="false">MONTH(B474)</f>
        <v>10</v>
      </c>
      <c r="I474" s="3" t="s">
        <v>1891</v>
      </c>
      <c r="J474" s="3" t="s">
        <v>1883</v>
      </c>
      <c r="K474" s="3" t="s">
        <v>1884</v>
      </c>
      <c r="L474" s="3" t="s">
        <v>1885</v>
      </c>
      <c r="M474" s="3" t="s">
        <v>1739</v>
      </c>
      <c r="N474" s="11" t="s">
        <v>1892</v>
      </c>
    </row>
    <row r="475" customFormat="false" ht="15" hidden="false" customHeight="false" outlineLevel="0" collapsed="false">
      <c r="A475" s="3" t="n">
        <v>471</v>
      </c>
      <c r="B475" s="8" t="n">
        <v>45954</v>
      </c>
      <c r="C475" s="3" t="s">
        <v>938</v>
      </c>
      <c r="D475" s="3" t="s">
        <v>939</v>
      </c>
      <c r="E475" s="9" t="n">
        <v>305276.14</v>
      </c>
      <c r="F475" s="9"/>
      <c r="G475" s="9" t="n">
        <f aca="false">N(F475)-N(E475)</f>
        <v>-305276.14</v>
      </c>
      <c r="H475" s="3" t="n">
        <f aca="false">MONTH(B475)</f>
        <v>10</v>
      </c>
      <c r="I475" s="3" t="s">
        <v>1901</v>
      </c>
      <c r="J475" s="3" t="s">
        <v>1883</v>
      </c>
      <c r="K475" s="3" t="s">
        <v>1884</v>
      </c>
      <c r="L475" s="3" t="s">
        <v>1885</v>
      </c>
      <c r="M475" s="3" t="s">
        <v>1744</v>
      </c>
      <c r="N475" s="11" t="s">
        <v>1902</v>
      </c>
    </row>
    <row r="476" customFormat="false" ht="15" hidden="false" customHeight="false" outlineLevel="0" collapsed="false">
      <c r="A476" s="3" t="n">
        <v>472</v>
      </c>
      <c r="B476" s="8" t="n">
        <v>45957</v>
      </c>
      <c r="C476" s="3" t="s">
        <v>940</v>
      </c>
      <c r="D476" s="3" t="s">
        <v>941</v>
      </c>
      <c r="E476" s="9"/>
      <c r="F476" s="9" t="n">
        <v>1050592.89</v>
      </c>
      <c r="G476" s="9" t="n">
        <f aca="false">N(F476)-N(E476)</f>
        <v>1050592.89</v>
      </c>
      <c r="H476" s="3" t="n">
        <f aca="false">MONTH(B476)</f>
        <v>10</v>
      </c>
      <c r="I476" s="3" t="s">
        <v>1886</v>
      </c>
      <c r="J476" s="3" t="s">
        <v>1883</v>
      </c>
      <c r="K476" s="3" t="s">
        <v>1884</v>
      </c>
      <c r="L476" s="3" t="s">
        <v>1885</v>
      </c>
      <c r="M476" s="3" t="s">
        <v>1745</v>
      </c>
      <c r="N476" s="11" t="s">
        <v>1887</v>
      </c>
    </row>
    <row r="477" customFormat="false" ht="15" hidden="false" customHeight="false" outlineLevel="0" collapsed="false">
      <c r="A477" s="3" t="n">
        <v>473</v>
      </c>
      <c r="B477" s="8" t="n">
        <v>45957</v>
      </c>
      <c r="C477" s="3" t="s">
        <v>942</v>
      </c>
      <c r="D477" s="3" t="s">
        <v>943</v>
      </c>
      <c r="E477" s="9" t="n">
        <v>4085300</v>
      </c>
      <c r="F477" s="9"/>
      <c r="G477" s="9" t="n">
        <f aca="false">N(F477)-N(E477)</f>
        <v>-4085300</v>
      </c>
      <c r="H477" s="3" t="n">
        <f aca="false">MONTH(B477)</f>
        <v>10</v>
      </c>
      <c r="I477" s="3" t="s">
        <v>1910</v>
      </c>
      <c r="J477" s="3" t="s">
        <v>1883</v>
      </c>
      <c r="K477" s="3" t="s">
        <v>1884</v>
      </c>
      <c r="L477" s="3" t="s">
        <v>1885</v>
      </c>
      <c r="M477" s="3" t="s">
        <v>1746</v>
      </c>
      <c r="N477" s="11"/>
    </row>
    <row r="478" customFormat="false" ht="15" hidden="false" customHeight="false" outlineLevel="0" collapsed="false">
      <c r="A478" s="16" t="n">
        <v>474</v>
      </c>
      <c r="B478" s="17" t="n">
        <v>45958</v>
      </c>
      <c r="C478" s="16" t="s">
        <v>944</v>
      </c>
      <c r="D478" s="16" t="s">
        <v>198</v>
      </c>
      <c r="E478" s="18" t="n">
        <v>1000000</v>
      </c>
      <c r="F478" s="18"/>
      <c r="G478" s="18" t="n">
        <f aca="false">N(F478)-N(E478)</f>
        <v>-1000000</v>
      </c>
      <c r="H478" s="16" t="n">
        <f aca="false">MONTH(B478)</f>
        <v>10</v>
      </c>
      <c r="I478" s="16" t="s">
        <v>1923</v>
      </c>
      <c r="J478" s="16" t="s">
        <v>1920</v>
      </c>
      <c r="K478" s="16" t="s">
        <v>1921</v>
      </c>
      <c r="L478" s="16" t="s">
        <v>1885</v>
      </c>
      <c r="M478" s="16" t="s">
        <v>1748</v>
      </c>
      <c r="N478" s="19"/>
    </row>
    <row r="479" customFormat="false" ht="15" hidden="false" customHeight="false" outlineLevel="0" collapsed="false">
      <c r="A479" s="3" t="n">
        <v>475</v>
      </c>
      <c r="B479" s="8" t="n">
        <v>45961</v>
      </c>
      <c r="C479" s="3" t="s">
        <v>945</v>
      </c>
      <c r="D479" s="3" t="s">
        <v>946</v>
      </c>
      <c r="E479" s="9" t="n">
        <v>4500</v>
      </c>
      <c r="F479" s="9"/>
      <c r="G479" s="9" t="n">
        <f aca="false">N(F479)-N(E479)</f>
        <v>-4500</v>
      </c>
      <c r="H479" s="3" t="n">
        <f aca="false">MONTH(B479)</f>
        <v>10</v>
      </c>
      <c r="I479" s="3" t="s">
        <v>1911</v>
      </c>
      <c r="J479" s="3" t="s">
        <v>1883</v>
      </c>
      <c r="K479" s="3" t="s">
        <v>1884</v>
      </c>
      <c r="L479" s="3" t="s">
        <v>1939</v>
      </c>
      <c r="M479" s="3" t="s">
        <v>1940</v>
      </c>
      <c r="N479" s="11" t="s">
        <v>1975</v>
      </c>
    </row>
    <row r="480" customFormat="false" ht="15" hidden="false" customHeight="false" outlineLevel="0" collapsed="false">
      <c r="A480" s="3" t="n">
        <v>476</v>
      </c>
      <c r="B480" s="8" t="n">
        <v>45961</v>
      </c>
      <c r="C480" s="3" t="s">
        <v>947</v>
      </c>
      <c r="D480" s="3" t="s">
        <v>136</v>
      </c>
      <c r="E480" s="9" t="n">
        <v>4393.63</v>
      </c>
      <c r="F480" s="9"/>
      <c r="G480" s="9" t="n">
        <f aca="false">N(F480)-N(E480)</f>
        <v>-4393.63</v>
      </c>
      <c r="H480" s="3" t="n">
        <f aca="false">MONTH(B480)</f>
        <v>10</v>
      </c>
      <c r="I480" s="3" t="s">
        <v>1911</v>
      </c>
      <c r="J480" s="3" t="s">
        <v>1883</v>
      </c>
      <c r="K480" s="3" t="s">
        <v>1884</v>
      </c>
      <c r="L480" s="3" t="s">
        <v>1939</v>
      </c>
      <c r="M480" s="3" t="s">
        <v>1940</v>
      </c>
      <c r="N480" s="11" t="s">
        <v>1975</v>
      </c>
    </row>
    <row r="481" customFormat="false" ht="15" hidden="false" customHeight="false" outlineLevel="0" collapsed="false">
      <c r="A481" s="3" t="n">
        <v>477</v>
      </c>
      <c r="B481" s="8" t="n">
        <v>45961</v>
      </c>
      <c r="C481" s="3" t="s">
        <v>948</v>
      </c>
      <c r="D481" s="3" t="s">
        <v>674</v>
      </c>
      <c r="E481" s="9" t="n">
        <v>500</v>
      </c>
      <c r="F481" s="9"/>
      <c r="G481" s="9" t="n">
        <f aca="false">N(F481)-N(E481)</f>
        <v>-500</v>
      </c>
      <c r="H481" s="3" t="n">
        <f aca="false">MONTH(B481)</f>
        <v>10</v>
      </c>
      <c r="I481" s="3" t="s">
        <v>1911</v>
      </c>
      <c r="J481" s="3" t="s">
        <v>1883</v>
      </c>
      <c r="K481" s="3" t="s">
        <v>1884</v>
      </c>
      <c r="L481" s="3" t="s">
        <v>1939</v>
      </c>
      <c r="M481" s="3" t="s">
        <v>1940</v>
      </c>
      <c r="N481" s="11" t="s">
        <v>1975</v>
      </c>
    </row>
    <row r="482" customFormat="false" ht="15" hidden="false" customHeight="false" outlineLevel="0" collapsed="false">
      <c r="A482" s="3" t="n">
        <v>478</v>
      </c>
      <c r="B482" s="8" t="n">
        <v>45961</v>
      </c>
      <c r="C482" s="3" t="s">
        <v>949</v>
      </c>
      <c r="D482" s="3" t="s">
        <v>140</v>
      </c>
      <c r="E482" s="9" t="n">
        <v>704.52</v>
      </c>
      <c r="F482" s="9"/>
      <c r="G482" s="9" t="n">
        <f aca="false">N(F482)-N(E482)</f>
        <v>-704.52</v>
      </c>
      <c r="H482" s="3" t="n">
        <f aca="false">MONTH(B482)</f>
        <v>10</v>
      </c>
      <c r="I482" s="3" t="s">
        <v>1911</v>
      </c>
      <c r="J482" s="3" t="s">
        <v>1883</v>
      </c>
      <c r="K482" s="3" t="s">
        <v>1884</v>
      </c>
      <c r="L482" s="3" t="s">
        <v>1939</v>
      </c>
      <c r="M482" s="3" t="s">
        <v>1940</v>
      </c>
      <c r="N482" s="11" t="s">
        <v>1975</v>
      </c>
    </row>
    <row r="483" customFormat="false" ht="15" hidden="false" customHeight="false" outlineLevel="0" collapsed="false">
      <c r="A483" s="3" t="n">
        <v>479</v>
      </c>
      <c r="B483" s="8" t="n">
        <v>45961</v>
      </c>
      <c r="C483" s="3" t="s">
        <v>950</v>
      </c>
      <c r="D483" s="3" t="s">
        <v>142</v>
      </c>
      <c r="E483" s="9" t="n">
        <v>850</v>
      </c>
      <c r="F483" s="9"/>
      <c r="G483" s="9" t="n">
        <f aca="false">N(F483)-N(E483)</f>
        <v>-850</v>
      </c>
      <c r="H483" s="3" t="n">
        <f aca="false">MONTH(B483)</f>
        <v>10</v>
      </c>
      <c r="I483" s="3" t="s">
        <v>1914</v>
      </c>
      <c r="J483" s="3" t="s">
        <v>1883</v>
      </c>
      <c r="K483" s="3" t="s">
        <v>1884</v>
      </c>
      <c r="L483" s="3" t="s">
        <v>1939</v>
      </c>
      <c r="M483" s="3" t="s">
        <v>1940</v>
      </c>
      <c r="N483" s="11" t="s">
        <v>1975</v>
      </c>
    </row>
    <row r="484" customFormat="false" ht="15" hidden="false" customHeight="false" outlineLevel="0" collapsed="false">
      <c r="A484" s="3" t="n">
        <v>480</v>
      </c>
      <c r="B484" s="8" t="n">
        <v>45964</v>
      </c>
      <c r="C484" s="3" t="s">
        <v>951</v>
      </c>
      <c r="D484" s="3" t="s">
        <v>952</v>
      </c>
      <c r="E484" s="9"/>
      <c r="F484" s="9" t="n">
        <v>4167900</v>
      </c>
      <c r="G484" s="9" t="n">
        <f aca="false">N(F484)-N(E484)</f>
        <v>4167900</v>
      </c>
      <c r="H484" s="3" t="n">
        <f aca="false">MONTH(B484)</f>
        <v>11</v>
      </c>
      <c r="I484" s="3" t="s">
        <v>1882</v>
      </c>
      <c r="J484" s="3" t="s">
        <v>1883</v>
      </c>
      <c r="K484" s="3" t="s">
        <v>1884</v>
      </c>
      <c r="L484" s="3" t="s">
        <v>1885</v>
      </c>
      <c r="M484" s="3" t="s">
        <v>1751</v>
      </c>
      <c r="N484" s="11"/>
    </row>
    <row r="485" customFormat="false" ht="15" hidden="false" customHeight="false" outlineLevel="0" collapsed="false">
      <c r="A485" s="12" t="n">
        <v>481</v>
      </c>
      <c r="B485" s="13" t="n">
        <v>45964</v>
      </c>
      <c r="C485" s="12" t="s">
        <v>953</v>
      </c>
      <c r="D485" s="12" t="s">
        <v>192</v>
      </c>
      <c r="E485" s="14"/>
      <c r="F485" s="14" t="n">
        <v>627953.99</v>
      </c>
      <c r="G485" s="14" t="n">
        <f aca="false">N(F485)-N(E485)</f>
        <v>627953.99</v>
      </c>
      <c r="H485" s="12" t="n">
        <f aca="false">MONTH(B485)</f>
        <v>11</v>
      </c>
      <c r="I485" s="12" t="s">
        <v>1895</v>
      </c>
      <c r="J485" s="12" t="s">
        <v>1883</v>
      </c>
      <c r="K485" s="12" t="s">
        <v>1896</v>
      </c>
      <c r="L485" s="12" t="s">
        <v>1885</v>
      </c>
      <c r="M485" s="12" t="s">
        <v>1753</v>
      </c>
      <c r="N485" s="15" t="s">
        <v>1897</v>
      </c>
    </row>
    <row r="486" customFormat="false" ht="15" hidden="false" customHeight="false" outlineLevel="0" collapsed="false">
      <c r="A486" s="3" t="n">
        <v>482</v>
      </c>
      <c r="B486" s="8" t="n">
        <v>45964</v>
      </c>
      <c r="C486" s="3" t="s">
        <v>954</v>
      </c>
      <c r="D486" s="3" t="s">
        <v>955</v>
      </c>
      <c r="E486" s="9" t="n">
        <v>153012.19</v>
      </c>
      <c r="F486" s="9"/>
      <c r="G486" s="9" t="n">
        <f aca="false">N(F486)-N(E486)</f>
        <v>-153012.19</v>
      </c>
      <c r="H486" s="3" t="n">
        <f aca="false">MONTH(B486)</f>
        <v>11</v>
      </c>
      <c r="I486" s="3" t="s">
        <v>1893</v>
      </c>
      <c r="J486" s="3" t="s">
        <v>1883</v>
      </c>
      <c r="K486" s="3" t="s">
        <v>1884</v>
      </c>
      <c r="L486" s="3" t="s">
        <v>1915</v>
      </c>
      <c r="M486" s="3" t="s">
        <v>1749</v>
      </c>
      <c r="N486" s="11" t="s">
        <v>1894</v>
      </c>
    </row>
    <row r="487" customFormat="false" ht="15" hidden="false" customHeight="false" outlineLevel="0" collapsed="false">
      <c r="A487" s="3" t="n">
        <v>483</v>
      </c>
      <c r="B487" s="8" t="n">
        <v>45965</v>
      </c>
      <c r="C487" s="3" t="s">
        <v>956</v>
      </c>
      <c r="D487" s="3" t="s">
        <v>957</v>
      </c>
      <c r="E487" s="9" t="n">
        <v>204595.69</v>
      </c>
      <c r="F487" s="9"/>
      <c r="G487" s="9" t="n">
        <f aca="false">N(F487)-N(E487)</f>
        <v>-204595.69</v>
      </c>
      <c r="H487" s="3" t="n">
        <f aca="false">MONTH(B487)</f>
        <v>11</v>
      </c>
      <c r="I487" s="3" t="s">
        <v>1893</v>
      </c>
      <c r="J487" s="3" t="s">
        <v>1883</v>
      </c>
      <c r="K487" s="3" t="s">
        <v>1884</v>
      </c>
      <c r="L487" s="3" t="s">
        <v>1885</v>
      </c>
      <c r="M487" s="3" t="s">
        <v>1755</v>
      </c>
      <c r="N487" s="11" t="s">
        <v>1894</v>
      </c>
    </row>
    <row r="488" customFormat="false" ht="15" hidden="false" customHeight="false" outlineLevel="0" collapsed="false">
      <c r="A488" s="3" t="n">
        <v>484</v>
      </c>
      <c r="B488" s="8" t="n">
        <v>45966</v>
      </c>
      <c r="C488" s="3" t="s">
        <v>958</v>
      </c>
      <c r="D488" s="3" t="s">
        <v>959</v>
      </c>
      <c r="E488" s="9"/>
      <c r="F488" s="9" t="n">
        <v>2903700</v>
      </c>
      <c r="G488" s="9" t="n">
        <f aca="false">N(F488)-N(E488)</f>
        <v>2903700</v>
      </c>
      <c r="H488" s="3" t="n">
        <f aca="false">MONTH(B488)</f>
        <v>11</v>
      </c>
      <c r="I488" s="3" t="s">
        <v>1882</v>
      </c>
      <c r="J488" s="3" t="s">
        <v>1883</v>
      </c>
      <c r="K488" s="3" t="s">
        <v>1884</v>
      </c>
      <c r="L488" s="3" t="s">
        <v>1885</v>
      </c>
      <c r="M488" s="3" t="s">
        <v>1759</v>
      </c>
      <c r="N488" s="11"/>
    </row>
    <row r="489" customFormat="false" ht="15" hidden="false" customHeight="false" outlineLevel="0" collapsed="false">
      <c r="A489" s="3" t="n">
        <v>485</v>
      </c>
      <c r="B489" s="8" t="n">
        <v>45966</v>
      </c>
      <c r="C489" s="3" t="s">
        <v>960</v>
      </c>
      <c r="D489" s="3" t="s">
        <v>961</v>
      </c>
      <c r="E489" s="9" t="n">
        <v>85000</v>
      </c>
      <c r="F489" s="9"/>
      <c r="G489" s="9" t="n">
        <f aca="false">N(F489)-N(E489)</f>
        <v>-85000</v>
      </c>
      <c r="H489" s="3" t="n">
        <f aca="false">MONTH(B489)</f>
        <v>11</v>
      </c>
      <c r="I489" s="3" t="s">
        <v>1888</v>
      </c>
      <c r="J489" s="3" t="s">
        <v>1883</v>
      </c>
      <c r="K489" s="3" t="s">
        <v>1884</v>
      </c>
      <c r="L489" s="3" t="s">
        <v>1885</v>
      </c>
      <c r="M489" s="3" t="s">
        <v>1754</v>
      </c>
      <c r="N489" s="11"/>
    </row>
    <row r="490" customFormat="false" ht="15" hidden="false" customHeight="false" outlineLevel="0" collapsed="false">
      <c r="A490" s="3" t="n">
        <v>486</v>
      </c>
      <c r="B490" s="8" t="n">
        <v>45966</v>
      </c>
      <c r="C490" s="3" t="s">
        <v>962</v>
      </c>
      <c r="D490" s="3" t="s">
        <v>963</v>
      </c>
      <c r="E490" s="9" t="n">
        <v>276952.5</v>
      </c>
      <c r="F490" s="9"/>
      <c r="G490" s="9" t="n">
        <f aca="false">N(F490)-N(E490)</f>
        <v>-276952.5</v>
      </c>
      <c r="H490" s="3" t="n">
        <f aca="false">MONTH(B490)</f>
        <v>11</v>
      </c>
      <c r="I490" s="3" t="s">
        <v>1901</v>
      </c>
      <c r="J490" s="3" t="s">
        <v>1883</v>
      </c>
      <c r="K490" s="3" t="s">
        <v>1884</v>
      </c>
      <c r="L490" s="3" t="s">
        <v>1915</v>
      </c>
      <c r="M490" s="3" t="s">
        <v>1750</v>
      </c>
      <c r="N490" s="11" t="s">
        <v>1902</v>
      </c>
    </row>
    <row r="491" customFormat="false" ht="15" hidden="false" customHeight="false" outlineLevel="0" collapsed="false">
      <c r="A491" s="16" t="n">
        <v>487</v>
      </c>
      <c r="B491" s="17" t="n">
        <v>45966</v>
      </c>
      <c r="C491" s="16" t="s">
        <v>964</v>
      </c>
      <c r="D491" s="16" t="s">
        <v>965</v>
      </c>
      <c r="E491" s="18" t="n">
        <v>9240000</v>
      </c>
      <c r="F491" s="18"/>
      <c r="G491" s="18" t="n">
        <f aca="false">N(F491)-N(E491)</f>
        <v>-9240000</v>
      </c>
      <c r="H491" s="16" t="n">
        <f aca="false">MONTH(B491)</f>
        <v>11</v>
      </c>
      <c r="I491" s="16" t="s">
        <v>1976</v>
      </c>
      <c r="J491" s="16" t="s">
        <v>1883</v>
      </c>
      <c r="K491" s="16" t="s">
        <v>1921</v>
      </c>
      <c r="L491" s="16" t="s">
        <v>1885</v>
      </c>
      <c r="M491" s="16" t="s">
        <v>1761</v>
      </c>
      <c r="N491" s="19" t="s">
        <v>1977</v>
      </c>
    </row>
    <row r="492" customFormat="false" ht="15" hidden="false" customHeight="false" outlineLevel="0" collapsed="false">
      <c r="A492" s="3" t="n">
        <v>488</v>
      </c>
      <c r="B492" s="8" t="n">
        <v>45966</v>
      </c>
      <c r="C492" s="3" t="s">
        <v>966</v>
      </c>
      <c r="D492" s="3" t="s">
        <v>967</v>
      </c>
      <c r="E492" s="9" t="n">
        <v>46200</v>
      </c>
      <c r="F492" s="9"/>
      <c r="G492" s="9" t="n">
        <f aca="false">N(F492)-N(E492)</f>
        <v>-46200</v>
      </c>
      <c r="H492" s="3" t="n">
        <f aca="false">MONTH(B492)</f>
        <v>11</v>
      </c>
      <c r="I492" s="3" t="s">
        <v>1911</v>
      </c>
      <c r="J492" s="3" t="s">
        <v>1883</v>
      </c>
      <c r="K492" s="3" t="s">
        <v>1884</v>
      </c>
      <c r="L492" s="3" t="s">
        <v>1939</v>
      </c>
      <c r="M492" s="3" t="s">
        <v>1940</v>
      </c>
      <c r="N492" s="11"/>
    </row>
    <row r="493" customFormat="false" ht="15" hidden="false" customHeight="false" outlineLevel="0" collapsed="false">
      <c r="A493" s="3" t="n">
        <v>489</v>
      </c>
      <c r="B493" s="8" t="n">
        <v>45967</v>
      </c>
      <c r="C493" s="3" t="s">
        <v>968</v>
      </c>
      <c r="D493" s="3" t="s">
        <v>969</v>
      </c>
      <c r="E493" s="9"/>
      <c r="F493" s="9" t="n">
        <v>1868313.73</v>
      </c>
      <c r="G493" s="9" t="n">
        <f aca="false">N(F493)-N(E493)</f>
        <v>1868313.73</v>
      </c>
      <c r="H493" s="3" t="n">
        <f aca="false">MONTH(B493)</f>
        <v>11</v>
      </c>
      <c r="I493" s="3" t="s">
        <v>1886</v>
      </c>
      <c r="J493" s="3" t="s">
        <v>1883</v>
      </c>
      <c r="K493" s="3" t="s">
        <v>1884</v>
      </c>
      <c r="L493" s="3" t="s">
        <v>1885</v>
      </c>
      <c r="M493" s="3" t="s">
        <v>1763</v>
      </c>
      <c r="N493" s="11" t="s">
        <v>1887</v>
      </c>
    </row>
    <row r="494" customFormat="false" ht="15" hidden="false" customHeight="false" outlineLevel="0" collapsed="false">
      <c r="A494" s="12" t="n">
        <v>490</v>
      </c>
      <c r="B494" s="13" t="n">
        <v>45968</v>
      </c>
      <c r="C494" s="12" t="s">
        <v>970</v>
      </c>
      <c r="D494" s="12" t="s">
        <v>971</v>
      </c>
      <c r="E494" s="14" t="n">
        <v>607000</v>
      </c>
      <c r="F494" s="14"/>
      <c r="G494" s="14" t="n">
        <f aca="false">N(F494)-N(E494)</f>
        <v>-607000</v>
      </c>
      <c r="H494" s="12" t="n">
        <f aca="false">MONTH(B494)</f>
        <v>11</v>
      </c>
      <c r="I494" s="12" t="s">
        <v>1908</v>
      </c>
      <c r="J494" s="12" t="s">
        <v>1883</v>
      </c>
      <c r="K494" s="12" t="s">
        <v>1896</v>
      </c>
      <c r="L494" s="12" t="s">
        <v>1885</v>
      </c>
      <c r="M494" s="12" t="s">
        <v>1756</v>
      </c>
      <c r="N494" s="15" t="s">
        <v>1909</v>
      </c>
    </row>
    <row r="495" customFormat="false" ht="15" hidden="false" customHeight="false" outlineLevel="0" collapsed="false">
      <c r="A495" s="3" t="n">
        <v>491</v>
      </c>
      <c r="B495" s="8" t="n">
        <v>45971</v>
      </c>
      <c r="C495" s="3" t="s">
        <v>972</v>
      </c>
      <c r="D495" s="3" t="s">
        <v>973</v>
      </c>
      <c r="E495" s="9"/>
      <c r="F495" s="9" t="n">
        <v>618220.24</v>
      </c>
      <c r="G495" s="9" t="n">
        <f aca="false">N(F495)-N(E495)</f>
        <v>618220.24</v>
      </c>
      <c r="H495" s="3" t="n">
        <f aca="false">MONTH(B495)</f>
        <v>11</v>
      </c>
      <c r="I495" s="3" t="s">
        <v>1891</v>
      </c>
      <c r="J495" s="3" t="s">
        <v>1883</v>
      </c>
      <c r="K495" s="3" t="s">
        <v>1884</v>
      </c>
      <c r="L495" s="3" t="s">
        <v>1885</v>
      </c>
      <c r="M495" s="3" t="s">
        <v>1765</v>
      </c>
      <c r="N495" s="11" t="s">
        <v>1892</v>
      </c>
    </row>
    <row r="496" customFormat="false" ht="15" hidden="false" customHeight="false" outlineLevel="0" collapsed="false">
      <c r="A496" s="3" t="n">
        <v>492</v>
      </c>
      <c r="B496" s="8" t="n">
        <v>45971</v>
      </c>
      <c r="C496" s="3" t="s">
        <v>974</v>
      </c>
      <c r="D496" s="3" t="s">
        <v>975</v>
      </c>
      <c r="E496" s="9" t="n">
        <v>1901100</v>
      </c>
      <c r="F496" s="9"/>
      <c r="G496" s="9" t="n">
        <f aca="false">N(F496)-N(E496)</f>
        <v>-1901100</v>
      </c>
      <c r="H496" s="3" t="n">
        <f aca="false">MONTH(B496)</f>
        <v>11</v>
      </c>
      <c r="I496" s="3" t="s">
        <v>1899</v>
      </c>
      <c r="J496" s="3" t="s">
        <v>1883</v>
      </c>
      <c r="K496" s="3" t="s">
        <v>1884</v>
      </c>
      <c r="L496" s="3" t="s">
        <v>1885</v>
      </c>
      <c r="M496" s="3" t="s">
        <v>1757</v>
      </c>
      <c r="N496" s="11"/>
    </row>
    <row r="497" customFormat="false" ht="15" hidden="false" customHeight="false" outlineLevel="0" collapsed="false">
      <c r="A497" s="3" t="n">
        <v>493</v>
      </c>
      <c r="B497" s="8" t="n">
        <v>45971</v>
      </c>
      <c r="C497" s="3" t="s">
        <v>976</v>
      </c>
      <c r="D497" s="3" t="s">
        <v>977</v>
      </c>
      <c r="E497" s="9" t="n">
        <v>1383500</v>
      </c>
      <c r="F497" s="9"/>
      <c r="G497" s="9" t="n">
        <f aca="false">N(F497)-N(E497)</f>
        <v>-1383500</v>
      </c>
      <c r="H497" s="3" t="n">
        <f aca="false">MONTH(B497)</f>
        <v>11</v>
      </c>
      <c r="I497" s="3" t="s">
        <v>1899</v>
      </c>
      <c r="J497" s="3" t="s">
        <v>1883</v>
      </c>
      <c r="K497" s="3" t="s">
        <v>1884</v>
      </c>
      <c r="L497" s="3" t="s">
        <v>1885</v>
      </c>
      <c r="M497" s="3" t="s">
        <v>1766</v>
      </c>
      <c r="N497" s="11"/>
    </row>
    <row r="498" customFormat="false" ht="15" hidden="false" customHeight="false" outlineLevel="0" collapsed="false">
      <c r="A498" s="3" t="n">
        <v>494</v>
      </c>
      <c r="B498" s="8" t="n">
        <v>45971</v>
      </c>
      <c r="C498" s="3" t="s">
        <v>978</v>
      </c>
      <c r="D498" s="3" t="s">
        <v>979</v>
      </c>
      <c r="E498" s="9" t="n">
        <v>487060</v>
      </c>
      <c r="F498" s="9"/>
      <c r="G498" s="9" t="n">
        <f aca="false">N(F498)-N(E498)</f>
        <v>-487060</v>
      </c>
      <c r="H498" s="3" t="n">
        <f aca="false">MONTH(B498)</f>
        <v>11</v>
      </c>
      <c r="I498" s="3" t="s">
        <v>1898</v>
      </c>
      <c r="J498" s="3" t="s">
        <v>1883</v>
      </c>
      <c r="K498" s="3" t="s">
        <v>1884</v>
      </c>
      <c r="L498" s="3" t="s">
        <v>1885</v>
      </c>
      <c r="M498" s="3" t="s">
        <v>1767</v>
      </c>
      <c r="N498" s="11"/>
    </row>
    <row r="499" customFormat="false" ht="15" hidden="false" customHeight="false" outlineLevel="0" collapsed="false">
      <c r="A499" s="3" t="n">
        <v>495</v>
      </c>
      <c r="B499" s="8" t="n">
        <v>45971</v>
      </c>
      <c r="C499" s="3" t="s">
        <v>980</v>
      </c>
      <c r="D499" s="3" t="s">
        <v>760</v>
      </c>
      <c r="E499" s="9" t="n">
        <v>396400</v>
      </c>
      <c r="F499" s="9"/>
      <c r="G499" s="9" t="n">
        <f aca="false">N(F499)-N(E499)</f>
        <v>-396400</v>
      </c>
      <c r="H499" s="3" t="n">
        <f aca="false">MONTH(B499)</f>
        <v>11</v>
      </c>
      <c r="I499" s="3" t="s">
        <v>1888</v>
      </c>
      <c r="J499" s="3" t="s">
        <v>1883</v>
      </c>
      <c r="K499" s="3" t="s">
        <v>1884</v>
      </c>
      <c r="L499" s="3" t="s">
        <v>1885</v>
      </c>
      <c r="M499" s="3" t="s">
        <v>1769</v>
      </c>
      <c r="N499" s="11"/>
    </row>
    <row r="500" customFormat="false" ht="15" hidden="false" customHeight="false" outlineLevel="0" collapsed="false">
      <c r="A500" s="3" t="n">
        <v>496</v>
      </c>
      <c r="B500" s="8" t="n">
        <v>45971</v>
      </c>
      <c r="C500" s="3" t="s">
        <v>981</v>
      </c>
      <c r="D500" s="3" t="s">
        <v>982</v>
      </c>
      <c r="E500" s="9" t="n">
        <v>250329.92</v>
      </c>
      <c r="F500" s="9"/>
      <c r="G500" s="9" t="n">
        <f aca="false">N(F500)-N(E500)</f>
        <v>-250329.92</v>
      </c>
      <c r="H500" s="3" t="n">
        <f aca="false">MONTH(B500)</f>
        <v>11</v>
      </c>
      <c r="I500" s="3" t="s">
        <v>1893</v>
      </c>
      <c r="J500" s="3" t="s">
        <v>1883</v>
      </c>
      <c r="K500" s="3" t="s">
        <v>1884</v>
      </c>
      <c r="L500" s="3" t="s">
        <v>1885</v>
      </c>
      <c r="M500" s="3" t="s">
        <v>1764</v>
      </c>
      <c r="N500" s="11" t="s">
        <v>1894</v>
      </c>
    </row>
    <row r="501" customFormat="false" ht="15" hidden="false" customHeight="false" outlineLevel="0" collapsed="false">
      <c r="A501" s="3" t="n">
        <v>497</v>
      </c>
      <c r="B501" s="8" t="n">
        <v>45971</v>
      </c>
      <c r="C501" s="3" t="s">
        <v>983</v>
      </c>
      <c r="D501" s="3" t="s">
        <v>984</v>
      </c>
      <c r="E501" s="9" t="n">
        <v>369001.14</v>
      </c>
      <c r="F501" s="9"/>
      <c r="G501" s="9" t="n">
        <f aca="false">N(F501)-N(E501)</f>
        <v>-369001.14</v>
      </c>
      <c r="H501" s="3" t="n">
        <f aca="false">MONTH(B501)</f>
        <v>11</v>
      </c>
      <c r="I501" s="3" t="s">
        <v>1901</v>
      </c>
      <c r="J501" s="3" t="s">
        <v>1883</v>
      </c>
      <c r="K501" s="3" t="s">
        <v>1884</v>
      </c>
      <c r="L501" s="3" t="s">
        <v>1885</v>
      </c>
      <c r="M501" s="3" t="s">
        <v>1770</v>
      </c>
      <c r="N501" s="11" t="s">
        <v>1902</v>
      </c>
    </row>
    <row r="502" customFormat="false" ht="15" hidden="false" customHeight="false" outlineLevel="0" collapsed="false">
      <c r="A502" s="3" t="n">
        <v>498</v>
      </c>
      <c r="B502" s="8" t="n">
        <v>45971</v>
      </c>
      <c r="C502" s="3" t="s">
        <v>985</v>
      </c>
      <c r="D502" s="3" t="s">
        <v>986</v>
      </c>
      <c r="E502" s="9" t="n">
        <v>1057421.95</v>
      </c>
      <c r="F502" s="9"/>
      <c r="G502" s="9" t="n">
        <f aca="false">N(F502)-N(E502)</f>
        <v>-1057421.95</v>
      </c>
      <c r="H502" s="3" t="n">
        <f aca="false">MONTH(B502)</f>
        <v>11</v>
      </c>
      <c r="I502" s="3" t="s">
        <v>1944</v>
      </c>
      <c r="J502" s="3" t="s">
        <v>1920</v>
      </c>
      <c r="K502" s="3" t="s">
        <v>1884</v>
      </c>
      <c r="L502" s="3" t="s">
        <v>1939</v>
      </c>
      <c r="M502" s="3" t="s">
        <v>1940</v>
      </c>
      <c r="N502" s="11" t="s">
        <v>1945</v>
      </c>
    </row>
    <row r="503" customFormat="false" ht="15" hidden="false" customHeight="false" outlineLevel="0" collapsed="false">
      <c r="A503" s="3" t="n">
        <v>499</v>
      </c>
      <c r="B503" s="8" t="n">
        <v>45972</v>
      </c>
      <c r="C503" s="3" t="s">
        <v>987</v>
      </c>
      <c r="D503" s="3" t="s">
        <v>988</v>
      </c>
      <c r="E503" s="9" t="n">
        <v>3856300</v>
      </c>
      <c r="F503" s="9"/>
      <c r="G503" s="9" t="n">
        <f aca="false">N(F503)-N(E503)</f>
        <v>-3856300</v>
      </c>
      <c r="H503" s="3" t="n">
        <f aca="false">MONTH(B503)</f>
        <v>11</v>
      </c>
      <c r="I503" s="3" t="s">
        <v>1899</v>
      </c>
      <c r="J503" s="3" t="s">
        <v>1883</v>
      </c>
      <c r="K503" s="3" t="s">
        <v>1884</v>
      </c>
      <c r="L503" s="3" t="s">
        <v>1885</v>
      </c>
      <c r="M503" s="3" t="s">
        <v>1771</v>
      </c>
      <c r="N503" s="11"/>
    </row>
    <row r="504" customFormat="false" ht="15" hidden="false" customHeight="false" outlineLevel="0" collapsed="false">
      <c r="A504" s="12" t="n">
        <v>500</v>
      </c>
      <c r="B504" s="13" t="n">
        <v>45972</v>
      </c>
      <c r="C504" s="12" t="s">
        <v>989</v>
      </c>
      <c r="D504" s="12" t="s">
        <v>990</v>
      </c>
      <c r="E504" s="14" t="n">
        <v>320000</v>
      </c>
      <c r="F504" s="14"/>
      <c r="G504" s="14" t="n">
        <f aca="false">N(F504)-N(E504)</f>
        <v>-320000</v>
      </c>
      <c r="H504" s="12" t="n">
        <f aca="false">MONTH(B504)</f>
        <v>11</v>
      </c>
      <c r="I504" s="12" t="s">
        <v>1908</v>
      </c>
      <c r="J504" s="12" t="s">
        <v>1883</v>
      </c>
      <c r="K504" s="12" t="s">
        <v>1896</v>
      </c>
      <c r="L504" s="12" t="s">
        <v>1885</v>
      </c>
      <c r="M504" s="12" t="s">
        <v>1772</v>
      </c>
      <c r="N504" s="15" t="s">
        <v>1909</v>
      </c>
    </row>
    <row r="505" customFormat="false" ht="15" hidden="false" customHeight="false" outlineLevel="0" collapsed="false">
      <c r="A505" s="3" t="n">
        <v>501</v>
      </c>
      <c r="B505" s="8" t="n">
        <v>45973</v>
      </c>
      <c r="C505" s="3" t="s">
        <v>991</v>
      </c>
      <c r="D505" s="3" t="s">
        <v>992</v>
      </c>
      <c r="E505" s="9" t="n">
        <v>74590.32</v>
      </c>
      <c r="F505" s="9"/>
      <c r="G505" s="9" t="n">
        <f aca="false">N(F505)-N(E505)</f>
        <v>-74590.32</v>
      </c>
      <c r="H505" s="3" t="n">
        <f aca="false">MONTH(B505)</f>
        <v>11</v>
      </c>
      <c r="I505" s="3" t="s">
        <v>1900</v>
      </c>
      <c r="J505" s="3" t="s">
        <v>1883</v>
      </c>
      <c r="K505" s="3" t="s">
        <v>1884</v>
      </c>
      <c r="L505" s="3" t="s">
        <v>1885</v>
      </c>
      <c r="M505" s="3" t="s">
        <v>1774</v>
      </c>
      <c r="N505" s="11"/>
    </row>
    <row r="506" customFormat="false" ht="15" hidden="false" customHeight="false" outlineLevel="0" collapsed="false">
      <c r="A506" s="3" t="n">
        <v>502</v>
      </c>
      <c r="B506" s="8" t="n">
        <v>45974</v>
      </c>
      <c r="C506" s="3" t="s">
        <v>993</v>
      </c>
      <c r="D506" s="3" t="s">
        <v>994</v>
      </c>
      <c r="E506" s="9"/>
      <c r="F506" s="9" t="n">
        <v>869363.02</v>
      </c>
      <c r="G506" s="9" t="n">
        <f aca="false">N(F506)-N(E506)</f>
        <v>869363.02</v>
      </c>
      <c r="H506" s="3" t="n">
        <f aca="false">MONTH(B506)</f>
        <v>11</v>
      </c>
      <c r="I506" s="3" t="s">
        <v>1886</v>
      </c>
      <c r="J506" s="3" t="s">
        <v>1883</v>
      </c>
      <c r="K506" s="3" t="s">
        <v>1884</v>
      </c>
      <c r="L506" s="3" t="s">
        <v>1885</v>
      </c>
      <c r="M506" s="3" t="s">
        <v>1775</v>
      </c>
      <c r="N506" s="11" t="s">
        <v>1887</v>
      </c>
    </row>
    <row r="507" customFormat="false" ht="15" hidden="false" customHeight="false" outlineLevel="0" collapsed="false">
      <c r="A507" s="3" t="n">
        <v>503</v>
      </c>
      <c r="B507" s="8" t="n">
        <v>45975</v>
      </c>
      <c r="C507" s="3" t="s">
        <v>995</v>
      </c>
      <c r="D507" s="3" t="s">
        <v>996</v>
      </c>
      <c r="E507" s="9" t="n">
        <v>2537300</v>
      </c>
      <c r="F507" s="9"/>
      <c r="G507" s="9" t="n">
        <f aca="false">N(F507)-N(E507)</f>
        <v>-2537300</v>
      </c>
      <c r="H507" s="3" t="n">
        <f aca="false">MONTH(B507)</f>
        <v>11</v>
      </c>
      <c r="I507" s="3" t="s">
        <v>1899</v>
      </c>
      <c r="J507" s="3" t="s">
        <v>1883</v>
      </c>
      <c r="K507" s="3" t="s">
        <v>1884</v>
      </c>
      <c r="L507" s="3" t="s">
        <v>1885</v>
      </c>
      <c r="M507" s="3" t="s">
        <v>1778</v>
      </c>
      <c r="N507" s="11"/>
    </row>
    <row r="508" customFormat="false" ht="15" hidden="false" customHeight="false" outlineLevel="0" collapsed="false">
      <c r="A508" s="3" t="n">
        <v>504</v>
      </c>
      <c r="B508" s="8" t="n">
        <v>45975</v>
      </c>
      <c r="C508" s="3" t="s">
        <v>997</v>
      </c>
      <c r="D508" s="3" t="s">
        <v>998</v>
      </c>
      <c r="E508" s="9" t="n">
        <v>315900</v>
      </c>
      <c r="F508" s="9"/>
      <c r="G508" s="9" t="n">
        <f aca="false">N(F508)-N(E508)</f>
        <v>-315900</v>
      </c>
      <c r="H508" s="3" t="n">
        <f aca="false">MONTH(B508)</f>
        <v>11</v>
      </c>
      <c r="I508" s="3" t="s">
        <v>1888</v>
      </c>
      <c r="J508" s="3" t="s">
        <v>1883</v>
      </c>
      <c r="K508" s="3" t="s">
        <v>1884</v>
      </c>
      <c r="L508" s="3" t="s">
        <v>1885</v>
      </c>
      <c r="M508" s="3" t="s">
        <v>1773</v>
      </c>
      <c r="N508" s="11"/>
    </row>
    <row r="509" customFormat="false" ht="15" hidden="false" customHeight="false" outlineLevel="0" collapsed="false">
      <c r="A509" s="3" t="n">
        <v>505</v>
      </c>
      <c r="B509" s="8" t="n">
        <v>45978</v>
      </c>
      <c r="C509" s="3" t="s">
        <v>999</v>
      </c>
      <c r="D509" s="3" t="s">
        <v>1000</v>
      </c>
      <c r="E509" s="9"/>
      <c r="F509" s="9" t="n">
        <v>5841700</v>
      </c>
      <c r="G509" s="9" t="n">
        <f aca="false">N(F509)-N(E509)</f>
        <v>5841700</v>
      </c>
      <c r="H509" s="3" t="n">
        <f aca="false">MONTH(B509)</f>
        <v>11</v>
      </c>
      <c r="I509" s="3" t="s">
        <v>1882</v>
      </c>
      <c r="J509" s="3" t="s">
        <v>1883</v>
      </c>
      <c r="K509" s="3" t="s">
        <v>1884</v>
      </c>
      <c r="L509" s="3" t="s">
        <v>1885</v>
      </c>
      <c r="M509" s="3" t="s">
        <v>1781</v>
      </c>
      <c r="N509" s="11"/>
    </row>
    <row r="510" customFormat="false" ht="15" hidden="false" customHeight="false" outlineLevel="0" collapsed="false">
      <c r="A510" s="3" t="n">
        <v>506</v>
      </c>
      <c r="B510" s="8" t="n">
        <v>45978</v>
      </c>
      <c r="C510" s="3" t="s">
        <v>1001</v>
      </c>
      <c r="D510" s="3" t="s">
        <v>1002</v>
      </c>
      <c r="E510" s="9"/>
      <c r="F510" s="9" t="n">
        <v>3166900</v>
      </c>
      <c r="G510" s="9" t="n">
        <f aca="false">N(F510)-N(E510)</f>
        <v>3166900</v>
      </c>
      <c r="H510" s="3" t="n">
        <f aca="false">MONTH(B510)</f>
        <v>11</v>
      </c>
      <c r="I510" s="3" t="s">
        <v>1882</v>
      </c>
      <c r="J510" s="3" t="s">
        <v>1883</v>
      </c>
      <c r="K510" s="3" t="s">
        <v>1884</v>
      </c>
      <c r="L510" s="3" t="s">
        <v>1885</v>
      </c>
      <c r="M510" s="3" t="s">
        <v>1779</v>
      </c>
      <c r="N510" s="11"/>
    </row>
    <row r="511" customFormat="false" ht="15" hidden="false" customHeight="false" outlineLevel="0" collapsed="false">
      <c r="A511" s="3" t="n">
        <v>507</v>
      </c>
      <c r="B511" s="8" t="n">
        <v>45978</v>
      </c>
      <c r="C511" s="3" t="s">
        <v>1003</v>
      </c>
      <c r="D511" s="3" t="s">
        <v>1004</v>
      </c>
      <c r="E511" s="9" t="n">
        <v>894600</v>
      </c>
      <c r="F511" s="9"/>
      <c r="G511" s="9" t="n">
        <f aca="false">N(F511)-N(E511)</f>
        <v>-894600</v>
      </c>
      <c r="H511" s="3" t="n">
        <f aca="false">MONTH(B511)</f>
        <v>11</v>
      </c>
      <c r="I511" s="3" t="s">
        <v>1903</v>
      </c>
      <c r="J511" s="3" t="s">
        <v>1883</v>
      </c>
      <c r="K511" s="3" t="s">
        <v>1884</v>
      </c>
      <c r="L511" s="3" t="s">
        <v>1885</v>
      </c>
      <c r="M511" s="3" t="s">
        <v>1776</v>
      </c>
      <c r="N511" s="11"/>
    </row>
    <row r="512" customFormat="false" ht="15" hidden="false" customHeight="false" outlineLevel="0" collapsed="false">
      <c r="A512" s="3" t="n">
        <v>508</v>
      </c>
      <c r="B512" s="8" t="n">
        <v>45979</v>
      </c>
      <c r="C512" s="3" t="s">
        <v>1005</v>
      </c>
      <c r="D512" s="3" t="s">
        <v>1006</v>
      </c>
      <c r="E512" s="9"/>
      <c r="F512" s="9" t="n">
        <v>3893100</v>
      </c>
      <c r="G512" s="9" t="n">
        <f aca="false">N(F512)-N(E512)</f>
        <v>3893100</v>
      </c>
      <c r="H512" s="3" t="n">
        <f aca="false">MONTH(B512)</f>
        <v>11</v>
      </c>
      <c r="I512" s="3" t="s">
        <v>1882</v>
      </c>
      <c r="J512" s="3" t="s">
        <v>1883</v>
      </c>
      <c r="K512" s="3" t="s">
        <v>1884</v>
      </c>
      <c r="L512" s="3" t="s">
        <v>1885</v>
      </c>
      <c r="M512" s="3" t="s">
        <v>1784</v>
      </c>
      <c r="N512" s="11"/>
    </row>
    <row r="513" customFormat="false" ht="15" hidden="false" customHeight="false" outlineLevel="0" collapsed="false">
      <c r="A513" s="3" t="n">
        <v>509</v>
      </c>
      <c r="B513" s="8" t="n">
        <v>45979</v>
      </c>
      <c r="C513" s="3" t="s">
        <v>1007</v>
      </c>
      <c r="D513" s="3" t="s">
        <v>1008</v>
      </c>
      <c r="E513" s="9" t="n">
        <v>2479000</v>
      </c>
      <c r="F513" s="9"/>
      <c r="G513" s="9" t="n">
        <f aca="false">N(F513)-N(E513)</f>
        <v>-2479000</v>
      </c>
      <c r="H513" s="3" t="n">
        <f aca="false">MONTH(B513)</f>
        <v>11</v>
      </c>
      <c r="I513" s="3" t="s">
        <v>1893</v>
      </c>
      <c r="J513" s="3" t="s">
        <v>1883</v>
      </c>
      <c r="K513" s="3" t="s">
        <v>1884</v>
      </c>
      <c r="L513" s="3" t="s">
        <v>1885</v>
      </c>
      <c r="M513" s="3" t="s">
        <v>1783</v>
      </c>
      <c r="N513" s="11"/>
    </row>
    <row r="514" customFormat="false" ht="15" hidden="false" customHeight="false" outlineLevel="0" collapsed="false">
      <c r="A514" s="12" t="n">
        <v>510</v>
      </c>
      <c r="B514" s="13" t="n">
        <v>45980</v>
      </c>
      <c r="C514" s="12" t="s">
        <v>1009</v>
      </c>
      <c r="D514" s="12" t="s">
        <v>1010</v>
      </c>
      <c r="E514" s="14"/>
      <c r="F514" s="14" t="n">
        <v>4786400</v>
      </c>
      <c r="G514" s="14" t="n">
        <f aca="false">N(F514)-N(E514)</f>
        <v>4786400</v>
      </c>
      <c r="H514" s="12" t="n">
        <f aca="false">MONTH(B514)</f>
        <v>11</v>
      </c>
      <c r="I514" s="12" t="s">
        <v>1882</v>
      </c>
      <c r="J514" s="12" t="s">
        <v>1883</v>
      </c>
      <c r="K514" s="12" t="s">
        <v>1896</v>
      </c>
      <c r="L514" s="12" t="s">
        <v>1885</v>
      </c>
      <c r="M514" s="12" t="s">
        <v>1786</v>
      </c>
      <c r="N514" s="15" t="s">
        <v>1907</v>
      </c>
    </row>
    <row r="515" customFormat="false" ht="15" hidden="false" customHeight="false" outlineLevel="0" collapsed="false">
      <c r="A515" s="3" t="n">
        <v>511</v>
      </c>
      <c r="B515" s="8" t="n">
        <v>45981</v>
      </c>
      <c r="C515" s="3" t="s">
        <v>1011</v>
      </c>
      <c r="D515" s="3" t="s">
        <v>1012</v>
      </c>
      <c r="E515" s="9"/>
      <c r="F515" s="9" t="n">
        <v>2283638.21</v>
      </c>
      <c r="G515" s="9" t="n">
        <f aca="false">N(F515)-N(E515)</f>
        <v>2283638.21</v>
      </c>
      <c r="H515" s="3" t="n">
        <f aca="false">MONTH(B515)</f>
        <v>11</v>
      </c>
      <c r="I515" s="3" t="s">
        <v>1886</v>
      </c>
      <c r="J515" s="3" t="s">
        <v>1883</v>
      </c>
      <c r="K515" s="3" t="s">
        <v>1884</v>
      </c>
      <c r="L515" s="3" t="s">
        <v>1885</v>
      </c>
      <c r="M515" s="3" t="s">
        <v>1787</v>
      </c>
      <c r="N515" s="11" t="s">
        <v>1887</v>
      </c>
    </row>
    <row r="516" customFormat="false" ht="15" hidden="false" customHeight="false" outlineLevel="0" collapsed="false">
      <c r="A516" s="12" t="n">
        <v>512</v>
      </c>
      <c r="B516" s="13" t="n">
        <v>45981</v>
      </c>
      <c r="C516" s="12" t="s">
        <v>1013</v>
      </c>
      <c r="D516" s="12" t="s">
        <v>146</v>
      </c>
      <c r="E516" s="14"/>
      <c r="F516" s="14" t="n">
        <v>1317901.03</v>
      </c>
      <c r="G516" s="14" t="n">
        <f aca="false">N(F516)-N(E516)</f>
        <v>1317901.03</v>
      </c>
      <c r="H516" s="12" t="n">
        <f aca="false">MONTH(B516)</f>
        <v>11</v>
      </c>
      <c r="I516" s="12" t="s">
        <v>1895</v>
      </c>
      <c r="J516" s="12" t="s">
        <v>1883</v>
      </c>
      <c r="K516" s="12" t="s">
        <v>1896</v>
      </c>
      <c r="L516" s="12" t="s">
        <v>1885</v>
      </c>
      <c r="M516" s="12" t="s">
        <v>1788</v>
      </c>
      <c r="N516" s="15" t="s">
        <v>1897</v>
      </c>
    </row>
    <row r="517" customFormat="false" ht="15" hidden="false" customHeight="false" outlineLevel="0" collapsed="false">
      <c r="A517" s="3" t="n">
        <v>513</v>
      </c>
      <c r="B517" s="8" t="n">
        <v>45982</v>
      </c>
      <c r="C517" s="3" t="s">
        <v>1014</v>
      </c>
      <c r="D517" s="3" t="s">
        <v>1015</v>
      </c>
      <c r="E517" s="9"/>
      <c r="F517" s="9" t="n">
        <v>4894200</v>
      </c>
      <c r="G517" s="9" t="n">
        <f aca="false">N(F517)-N(E517)</f>
        <v>4894200</v>
      </c>
      <c r="H517" s="3" t="n">
        <f aca="false">MONTH(B517)</f>
        <v>11</v>
      </c>
      <c r="I517" s="3" t="s">
        <v>1882</v>
      </c>
      <c r="J517" s="3" t="s">
        <v>1883</v>
      </c>
      <c r="K517" s="3" t="s">
        <v>1884</v>
      </c>
      <c r="L517" s="3" t="s">
        <v>1885</v>
      </c>
      <c r="M517" s="3" t="s">
        <v>1791</v>
      </c>
      <c r="N517" s="11"/>
    </row>
    <row r="518" customFormat="false" ht="15" hidden="false" customHeight="false" outlineLevel="0" collapsed="false">
      <c r="A518" s="3" t="n">
        <v>514</v>
      </c>
      <c r="B518" s="8" t="n">
        <v>45982</v>
      </c>
      <c r="C518" s="3" t="s">
        <v>1016</v>
      </c>
      <c r="D518" s="3" t="s">
        <v>1017</v>
      </c>
      <c r="E518" s="9" t="n">
        <v>1386714.93</v>
      </c>
      <c r="F518" s="9"/>
      <c r="G518" s="9" t="n">
        <f aca="false">N(F518)-N(E518)</f>
        <v>-1386714.93</v>
      </c>
      <c r="H518" s="3" t="n">
        <f aca="false">MONTH(B518)</f>
        <v>11</v>
      </c>
      <c r="I518" s="3" t="s">
        <v>1904</v>
      </c>
      <c r="J518" s="3" t="s">
        <v>1883</v>
      </c>
      <c r="K518" s="3" t="s">
        <v>1884</v>
      </c>
      <c r="L518" s="3" t="s">
        <v>1885</v>
      </c>
      <c r="M518" s="3" t="s">
        <v>1789</v>
      </c>
      <c r="N518" s="11" t="s">
        <v>1905</v>
      </c>
    </row>
    <row r="519" customFormat="false" ht="15" hidden="false" customHeight="false" outlineLevel="0" collapsed="false">
      <c r="A519" s="3" t="n">
        <v>515</v>
      </c>
      <c r="B519" s="8" t="n">
        <v>45985</v>
      </c>
      <c r="C519" s="3" t="s">
        <v>1018</v>
      </c>
      <c r="D519" s="3" t="s">
        <v>1019</v>
      </c>
      <c r="E519" s="9"/>
      <c r="F519" s="9" t="n">
        <v>681886.1</v>
      </c>
      <c r="G519" s="9" t="n">
        <f aca="false">N(F519)-N(E519)</f>
        <v>681886.1</v>
      </c>
      <c r="H519" s="3" t="n">
        <f aca="false">MONTH(B519)</f>
        <v>11</v>
      </c>
      <c r="I519" s="3" t="s">
        <v>1891</v>
      </c>
      <c r="J519" s="3" t="s">
        <v>1883</v>
      </c>
      <c r="K519" s="3" t="s">
        <v>1884</v>
      </c>
      <c r="L519" s="3" t="s">
        <v>1885</v>
      </c>
      <c r="M519" s="3" t="s">
        <v>1793</v>
      </c>
      <c r="N519" s="11" t="s">
        <v>1892</v>
      </c>
    </row>
    <row r="520" customFormat="false" ht="15" hidden="false" customHeight="false" outlineLevel="0" collapsed="false">
      <c r="A520" s="3" t="n">
        <v>516</v>
      </c>
      <c r="B520" s="8" t="n">
        <v>45985</v>
      </c>
      <c r="C520" s="3" t="s">
        <v>1020</v>
      </c>
      <c r="D520" s="3" t="s">
        <v>1021</v>
      </c>
      <c r="E520" s="9" t="n">
        <v>163687.78</v>
      </c>
      <c r="F520" s="9"/>
      <c r="G520" s="9" t="n">
        <f aca="false">N(F520)-N(E520)</f>
        <v>-163687.78</v>
      </c>
      <c r="H520" s="3" t="n">
        <f aca="false">MONTH(B520)</f>
        <v>11</v>
      </c>
      <c r="I520" s="3" t="s">
        <v>1906</v>
      </c>
      <c r="J520" s="3" t="s">
        <v>1883</v>
      </c>
      <c r="K520" s="3" t="s">
        <v>1884</v>
      </c>
      <c r="L520" s="3" t="s">
        <v>1885</v>
      </c>
      <c r="M520" s="3" t="s">
        <v>1794</v>
      </c>
      <c r="N520" s="11"/>
    </row>
    <row r="521" customFormat="false" ht="15" hidden="false" customHeight="false" outlineLevel="0" collapsed="false">
      <c r="A521" s="3" t="n">
        <v>517</v>
      </c>
      <c r="B521" s="8" t="n">
        <v>45985</v>
      </c>
      <c r="C521" s="3" t="s">
        <v>1022</v>
      </c>
      <c r="D521" s="3" t="s">
        <v>1023</v>
      </c>
      <c r="E521" s="9" t="n">
        <v>248766.88</v>
      </c>
      <c r="F521" s="9"/>
      <c r="G521" s="9" t="n">
        <f aca="false">N(F521)-N(E521)</f>
        <v>-248766.88</v>
      </c>
      <c r="H521" s="3" t="n">
        <f aca="false">MONTH(B521)</f>
        <v>11</v>
      </c>
      <c r="I521" s="3" t="s">
        <v>1893</v>
      </c>
      <c r="J521" s="3" t="s">
        <v>1883</v>
      </c>
      <c r="K521" s="3" t="s">
        <v>1884</v>
      </c>
      <c r="L521" s="3" t="s">
        <v>1885</v>
      </c>
      <c r="M521" s="3" t="s">
        <v>1795</v>
      </c>
      <c r="N521" s="11" t="s">
        <v>1894</v>
      </c>
    </row>
    <row r="522" customFormat="false" ht="15" hidden="false" customHeight="false" outlineLevel="0" collapsed="false">
      <c r="A522" s="16" t="n">
        <v>518</v>
      </c>
      <c r="B522" s="17" t="n">
        <v>45986</v>
      </c>
      <c r="C522" s="16" t="s">
        <v>1024</v>
      </c>
      <c r="D522" s="16" t="s">
        <v>1025</v>
      </c>
      <c r="E522" s="18" t="n">
        <v>1500000</v>
      </c>
      <c r="F522" s="18"/>
      <c r="G522" s="18" t="n">
        <f aca="false">N(F522)-N(E522)</f>
        <v>-1500000</v>
      </c>
      <c r="H522" s="16" t="n">
        <f aca="false">MONTH(B522)</f>
        <v>11</v>
      </c>
      <c r="I522" s="16" t="s">
        <v>1978</v>
      </c>
      <c r="J522" s="16" t="s">
        <v>1920</v>
      </c>
      <c r="K522" s="16" t="s">
        <v>1921</v>
      </c>
      <c r="L522" s="16" t="s">
        <v>1885</v>
      </c>
      <c r="M522" s="16" t="s">
        <v>1796</v>
      </c>
      <c r="N522" s="19" t="s">
        <v>1979</v>
      </c>
    </row>
    <row r="523" customFormat="false" ht="15" hidden="false" customHeight="false" outlineLevel="0" collapsed="false">
      <c r="A523" s="3" t="n">
        <v>519</v>
      </c>
      <c r="B523" s="8" t="n">
        <v>45988</v>
      </c>
      <c r="C523" s="3" t="s">
        <v>1026</v>
      </c>
      <c r="D523" s="3" t="s">
        <v>1027</v>
      </c>
      <c r="E523" s="9"/>
      <c r="F523" s="9" t="n">
        <v>2014397.91</v>
      </c>
      <c r="G523" s="9" t="n">
        <f aca="false">N(F523)-N(E523)</f>
        <v>2014397.91</v>
      </c>
      <c r="H523" s="3" t="n">
        <f aca="false">MONTH(B523)</f>
        <v>11</v>
      </c>
      <c r="I523" s="3" t="s">
        <v>1886</v>
      </c>
      <c r="J523" s="3" t="s">
        <v>1883</v>
      </c>
      <c r="K523" s="3" t="s">
        <v>1884</v>
      </c>
      <c r="L523" s="3" t="s">
        <v>1885</v>
      </c>
      <c r="M523" s="3" t="s">
        <v>1798</v>
      </c>
      <c r="N523" s="11" t="s">
        <v>1887</v>
      </c>
    </row>
    <row r="524" customFormat="false" ht="15" hidden="false" customHeight="false" outlineLevel="0" collapsed="false">
      <c r="A524" s="3" t="n">
        <v>520</v>
      </c>
      <c r="B524" s="8" t="n">
        <v>45988</v>
      </c>
      <c r="C524" s="3" t="s">
        <v>1028</v>
      </c>
      <c r="D524" s="3" t="s">
        <v>1029</v>
      </c>
      <c r="E524" s="9" t="n">
        <v>4085300</v>
      </c>
      <c r="F524" s="9"/>
      <c r="G524" s="9" t="n">
        <f aca="false">N(F524)-N(E524)</f>
        <v>-4085300</v>
      </c>
      <c r="H524" s="3" t="n">
        <f aca="false">MONTH(B524)</f>
        <v>11</v>
      </c>
      <c r="I524" s="3" t="s">
        <v>1910</v>
      </c>
      <c r="J524" s="3" t="s">
        <v>1883</v>
      </c>
      <c r="K524" s="3" t="s">
        <v>1884</v>
      </c>
      <c r="L524" s="3" t="s">
        <v>1885</v>
      </c>
      <c r="M524" s="3" t="s">
        <v>1799</v>
      </c>
      <c r="N524" s="11"/>
    </row>
    <row r="525" customFormat="false" ht="15" hidden="false" customHeight="false" outlineLevel="0" collapsed="false">
      <c r="A525" s="3" t="n">
        <v>521</v>
      </c>
      <c r="B525" s="8" t="n">
        <v>45989</v>
      </c>
      <c r="C525" s="3" t="s">
        <v>1030</v>
      </c>
      <c r="D525" s="3" t="s">
        <v>1031</v>
      </c>
      <c r="E525" s="9" t="n">
        <v>4500</v>
      </c>
      <c r="F525" s="9"/>
      <c r="G525" s="9" t="n">
        <f aca="false">N(F525)-N(E525)</f>
        <v>-4500</v>
      </c>
      <c r="H525" s="3" t="n">
        <f aca="false">MONTH(B525)</f>
        <v>11</v>
      </c>
      <c r="I525" s="3" t="s">
        <v>1911</v>
      </c>
      <c r="J525" s="3" t="s">
        <v>1883</v>
      </c>
      <c r="K525" s="3" t="s">
        <v>1884</v>
      </c>
      <c r="L525" s="3" t="s">
        <v>1939</v>
      </c>
      <c r="M525" s="3" t="s">
        <v>1940</v>
      </c>
      <c r="N525" s="11" t="s">
        <v>1975</v>
      </c>
    </row>
    <row r="526" customFormat="false" ht="15" hidden="false" customHeight="false" outlineLevel="0" collapsed="false">
      <c r="A526" s="3" t="n">
        <v>522</v>
      </c>
      <c r="B526" s="8" t="n">
        <v>45989</v>
      </c>
      <c r="C526" s="3" t="s">
        <v>1032</v>
      </c>
      <c r="D526" s="3" t="s">
        <v>136</v>
      </c>
      <c r="E526" s="9" t="n">
        <v>4590.35</v>
      </c>
      <c r="F526" s="9"/>
      <c r="G526" s="9" t="n">
        <f aca="false">N(F526)-N(E526)</f>
        <v>-4590.35</v>
      </c>
      <c r="H526" s="3" t="n">
        <f aca="false">MONTH(B526)</f>
        <v>11</v>
      </c>
      <c r="I526" s="3" t="s">
        <v>1911</v>
      </c>
      <c r="J526" s="3" t="s">
        <v>1883</v>
      </c>
      <c r="K526" s="3" t="s">
        <v>1884</v>
      </c>
      <c r="L526" s="3" t="s">
        <v>1939</v>
      </c>
      <c r="M526" s="3" t="s">
        <v>1940</v>
      </c>
      <c r="N526" s="11" t="s">
        <v>1975</v>
      </c>
    </row>
    <row r="527" customFormat="false" ht="15" hidden="false" customHeight="false" outlineLevel="0" collapsed="false">
      <c r="A527" s="3" t="n">
        <v>523</v>
      </c>
      <c r="B527" s="8" t="n">
        <v>45989</v>
      </c>
      <c r="C527" s="3" t="s">
        <v>1033</v>
      </c>
      <c r="D527" s="3" t="s">
        <v>224</v>
      </c>
      <c r="E527" s="9" t="n">
        <v>300</v>
      </c>
      <c r="F527" s="9"/>
      <c r="G527" s="9" t="n">
        <f aca="false">N(F527)-N(E527)</f>
        <v>-300</v>
      </c>
      <c r="H527" s="3" t="n">
        <f aca="false">MONTH(B527)</f>
        <v>11</v>
      </c>
      <c r="I527" s="3" t="s">
        <v>1911</v>
      </c>
      <c r="J527" s="3" t="s">
        <v>1883</v>
      </c>
      <c r="K527" s="3" t="s">
        <v>1884</v>
      </c>
      <c r="L527" s="3" t="s">
        <v>1939</v>
      </c>
      <c r="M527" s="3" t="s">
        <v>1940</v>
      </c>
      <c r="N527" s="11" t="s">
        <v>1975</v>
      </c>
    </row>
    <row r="528" customFormat="false" ht="15" hidden="false" customHeight="false" outlineLevel="0" collapsed="false">
      <c r="A528" s="3" t="n">
        <v>524</v>
      </c>
      <c r="B528" s="8" t="n">
        <v>45989</v>
      </c>
      <c r="C528" s="3" t="s">
        <v>1034</v>
      </c>
      <c r="D528" s="3" t="s">
        <v>140</v>
      </c>
      <c r="E528" s="9" t="n">
        <v>704.28</v>
      </c>
      <c r="F528" s="9"/>
      <c r="G528" s="9" t="n">
        <f aca="false">N(F528)-N(E528)</f>
        <v>-704.28</v>
      </c>
      <c r="H528" s="3" t="n">
        <f aca="false">MONTH(B528)</f>
        <v>11</v>
      </c>
      <c r="I528" s="3" t="s">
        <v>1911</v>
      </c>
      <c r="J528" s="3" t="s">
        <v>1883</v>
      </c>
      <c r="K528" s="3" t="s">
        <v>1884</v>
      </c>
      <c r="L528" s="3" t="s">
        <v>1939</v>
      </c>
      <c r="M528" s="3" t="s">
        <v>1940</v>
      </c>
      <c r="N528" s="11" t="s">
        <v>1975</v>
      </c>
    </row>
    <row r="529" customFormat="false" ht="15" hidden="false" customHeight="false" outlineLevel="0" collapsed="false">
      <c r="A529" s="3" t="n">
        <v>525</v>
      </c>
      <c r="B529" s="8" t="n">
        <v>45989</v>
      </c>
      <c r="C529" s="3" t="s">
        <v>1035</v>
      </c>
      <c r="D529" s="3" t="s">
        <v>412</v>
      </c>
      <c r="E529" s="9" t="n">
        <v>750</v>
      </c>
      <c r="F529" s="9"/>
      <c r="G529" s="9" t="n">
        <f aca="false">N(F529)-N(E529)</f>
        <v>-750</v>
      </c>
      <c r="H529" s="3" t="n">
        <f aca="false">MONTH(B529)</f>
        <v>11</v>
      </c>
      <c r="I529" s="3" t="s">
        <v>1914</v>
      </c>
      <c r="J529" s="3" t="s">
        <v>1883</v>
      </c>
      <c r="K529" s="3" t="s">
        <v>1884</v>
      </c>
      <c r="L529" s="3" t="s">
        <v>1939</v>
      </c>
      <c r="M529" s="3" t="s">
        <v>1940</v>
      </c>
      <c r="N529" s="11" t="s">
        <v>1975</v>
      </c>
    </row>
    <row r="530" customFormat="false" ht="15" hidden="false" customHeight="false" outlineLevel="0" collapsed="false">
      <c r="A530" s="3" t="n">
        <v>526</v>
      </c>
      <c r="B530" s="8" t="n">
        <v>45993</v>
      </c>
      <c r="C530" s="3" t="s">
        <v>1036</v>
      </c>
      <c r="D530" s="3" t="s">
        <v>1037</v>
      </c>
      <c r="E530" s="9" t="n">
        <v>319336.71</v>
      </c>
      <c r="F530" s="9"/>
      <c r="G530" s="9" t="n">
        <f aca="false">N(F530)-N(E530)</f>
        <v>-319336.71</v>
      </c>
      <c r="H530" s="3" t="n">
        <f aca="false">MONTH(B530)</f>
        <v>12</v>
      </c>
      <c r="I530" s="3" t="s">
        <v>1893</v>
      </c>
      <c r="J530" s="3" t="s">
        <v>1883</v>
      </c>
      <c r="K530" s="3" t="s">
        <v>1884</v>
      </c>
      <c r="L530" s="3" t="s">
        <v>1885</v>
      </c>
      <c r="M530" s="3" t="s">
        <v>1804</v>
      </c>
      <c r="N530" s="11" t="s">
        <v>1894</v>
      </c>
    </row>
    <row r="531" customFormat="false" ht="15" hidden="false" customHeight="false" outlineLevel="0" collapsed="false">
      <c r="A531" s="3" t="n">
        <v>527</v>
      </c>
      <c r="B531" s="8" t="n">
        <v>45994</v>
      </c>
      <c r="C531" s="3" t="s">
        <v>1038</v>
      </c>
      <c r="D531" s="3" t="s">
        <v>1039</v>
      </c>
      <c r="E531" s="9"/>
      <c r="F531" s="9" t="n">
        <v>1522000</v>
      </c>
      <c r="G531" s="9" t="n">
        <f aca="false">N(F531)-N(E531)</f>
        <v>1522000</v>
      </c>
      <c r="H531" s="3" t="n">
        <f aca="false">MONTH(B531)</f>
        <v>12</v>
      </c>
      <c r="I531" s="3" t="s">
        <v>1882</v>
      </c>
      <c r="J531" s="3" t="s">
        <v>1883</v>
      </c>
      <c r="K531" s="3" t="s">
        <v>1884</v>
      </c>
      <c r="L531" s="3" t="s">
        <v>1885</v>
      </c>
      <c r="M531" s="3" t="s">
        <v>1801</v>
      </c>
      <c r="N531" s="11"/>
    </row>
    <row r="532" customFormat="false" ht="15" hidden="false" customHeight="false" outlineLevel="0" collapsed="false">
      <c r="A532" s="12" t="n">
        <v>528</v>
      </c>
      <c r="B532" s="13" t="n">
        <v>45995</v>
      </c>
      <c r="C532" s="12" t="s">
        <v>1040</v>
      </c>
      <c r="D532" s="12" t="s">
        <v>1041</v>
      </c>
      <c r="E532" s="14"/>
      <c r="F532" s="14" t="n">
        <v>585782.69</v>
      </c>
      <c r="G532" s="14" t="n">
        <f aca="false">N(F532)-N(E532)</f>
        <v>585782.69</v>
      </c>
      <c r="H532" s="12" t="n">
        <f aca="false">MONTH(B532)</f>
        <v>12</v>
      </c>
      <c r="I532" s="12" t="s">
        <v>1895</v>
      </c>
      <c r="J532" s="12" t="s">
        <v>1883</v>
      </c>
      <c r="K532" s="12" t="s">
        <v>1896</v>
      </c>
      <c r="L532" s="12" t="s">
        <v>1885</v>
      </c>
      <c r="M532" s="12" t="s">
        <v>1805</v>
      </c>
      <c r="N532" s="15" t="s">
        <v>1897</v>
      </c>
    </row>
    <row r="533" customFormat="false" ht="15" hidden="false" customHeight="false" outlineLevel="0" collapsed="false">
      <c r="A533" s="3" t="n">
        <v>529</v>
      </c>
      <c r="B533" s="8" t="n">
        <v>45995</v>
      </c>
      <c r="C533" s="3" t="s">
        <v>1042</v>
      </c>
      <c r="D533" s="3" t="s">
        <v>1043</v>
      </c>
      <c r="E533" s="9" t="n">
        <v>339384.55</v>
      </c>
      <c r="F533" s="9"/>
      <c r="G533" s="9" t="n">
        <f aca="false">N(F533)-N(E533)</f>
        <v>-339384.55</v>
      </c>
      <c r="H533" s="3" t="n">
        <f aca="false">MONTH(B533)</f>
        <v>12</v>
      </c>
      <c r="I533" s="3" t="s">
        <v>1901</v>
      </c>
      <c r="J533" s="3" t="s">
        <v>1883</v>
      </c>
      <c r="K533" s="3" t="s">
        <v>1884</v>
      </c>
      <c r="L533" s="3" t="s">
        <v>1885</v>
      </c>
      <c r="M533" s="3" t="s">
        <v>1803</v>
      </c>
      <c r="N533" s="11" t="s">
        <v>1902</v>
      </c>
    </row>
    <row r="534" customFormat="false" ht="15" hidden="false" customHeight="false" outlineLevel="0" collapsed="false">
      <c r="A534" s="3" t="n">
        <v>530</v>
      </c>
      <c r="B534" s="8" t="n">
        <v>45996</v>
      </c>
      <c r="C534" s="3" t="s">
        <v>1044</v>
      </c>
      <c r="D534" s="3" t="s">
        <v>1045</v>
      </c>
      <c r="E534" s="9" t="n">
        <v>85000</v>
      </c>
      <c r="F534" s="9"/>
      <c r="G534" s="9" t="n">
        <f aca="false">N(F534)-N(E534)</f>
        <v>-85000</v>
      </c>
      <c r="H534" s="3" t="n">
        <f aca="false">MONTH(B534)</f>
        <v>12</v>
      </c>
      <c r="I534" s="3" t="s">
        <v>1888</v>
      </c>
      <c r="J534" s="3" t="s">
        <v>1883</v>
      </c>
      <c r="K534" s="3" t="s">
        <v>1884</v>
      </c>
      <c r="L534" s="3" t="s">
        <v>1885</v>
      </c>
      <c r="M534" s="3" t="s">
        <v>1806</v>
      </c>
      <c r="N534" s="11"/>
    </row>
    <row r="535" customFormat="false" ht="15" hidden="false" customHeight="false" outlineLevel="0" collapsed="false">
      <c r="A535" s="3" t="n">
        <v>531</v>
      </c>
      <c r="B535" s="8" t="n">
        <v>45999</v>
      </c>
      <c r="C535" s="3" t="s">
        <v>1046</v>
      </c>
      <c r="D535" s="3" t="s">
        <v>1047</v>
      </c>
      <c r="E535" s="9"/>
      <c r="F535" s="9" t="n">
        <v>3973000</v>
      </c>
      <c r="G535" s="9" t="n">
        <f aca="false">N(F535)-N(E535)</f>
        <v>3973000</v>
      </c>
      <c r="H535" s="3" t="n">
        <f aca="false">MONTH(B535)</f>
        <v>12</v>
      </c>
      <c r="I535" s="3" t="s">
        <v>1882</v>
      </c>
      <c r="J535" s="3" t="s">
        <v>1883</v>
      </c>
      <c r="K535" s="3" t="s">
        <v>1884</v>
      </c>
      <c r="L535" s="3" t="s">
        <v>1885</v>
      </c>
      <c r="M535" s="3" t="s">
        <v>1807</v>
      </c>
      <c r="N535" s="11"/>
    </row>
    <row r="536" customFormat="false" ht="15" hidden="false" customHeight="false" outlineLevel="0" collapsed="false">
      <c r="A536" s="3" t="n">
        <v>532</v>
      </c>
      <c r="B536" s="8" t="n">
        <v>45999</v>
      </c>
      <c r="C536" s="3" t="s">
        <v>1048</v>
      </c>
      <c r="D536" s="3" t="s">
        <v>1049</v>
      </c>
      <c r="E536" s="9"/>
      <c r="F536" s="9" t="n">
        <v>1814221.52</v>
      </c>
      <c r="G536" s="9" t="n">
        <f aca="false">N(F536)-N(E536)</f>
        <v>1814221.52</v>
      </c>
      <c r="H536" s="3" t="n">
        <f aca="false">MONTH(B536)</f>
        <v>12</v>
      </c>
      <c r="I536" s="3" t="s">
        <v>1886</v>
      </c>
      <c r="J536" s="3" t="s">
        <v>1883</v>
      </c>
      <c r="K536" s="3" t="s">
        <v>1884</v>
      </c>
      <c r="L536" s="3" t="s">
        <v>1885</v>
      </c>
      <c r="M536" s="3" t="s">
        <v>1809</v>
      </c>
      <c r="N536" s="11" t="s">
        <v>1887</v>
      </c>
    </row>
    <row r="537" customFormat="false" ht="15" hidden="false" customHeight="false" outlineLevel="0" collapsed="false">
      <c r="A537" s="3" t="n">
        <v>533</v>
      </c>
      <c r="B537" s="8" t="n">
        <v>45999</v>
      </c>
      <c r="C537" s="3" t="s">
        <v>1050</v>
      </c>
      <c r="D537" s="3" t="s">
        <v>1051</v>
      </c>
      <c r="E537" s="9" t="n">
        <v>416500</v>
      </c>
      <c r="F537" s="9"/>
      <c r="G537" s="9" t="n">
        <f aca="false">N(F537)-N(E537)</f>
        <v>-416500</v>
      </c>
      <c r="H537" s="3" t="n">
        <f aca="false">MONTH(B537)</f>
        <v>12</v>
      </c>
      <c r="I537" s="3" t="s">
        <v>1888</v>
      </c>
      <c r="J537" s="3" t="s">
        <v>1883</v>
      </c>
      <c r="K537" s="3" t="s">
        <v>1884</v>
      </c>
      <c r="L537" s="3" t="s">
        <v>1885</v>
      </c>
      <c r="M537" s="3" t="s">
        <v>1810</v>
      </c>
      <c r="N537" s="11"/>
    </row>
    <row r="538" customFormat="false" ht="15" hidden="false" customHeight="false" outlineLevel="0" collapsed="false">
      <c r="A538" s="3" t="n">
        <v>534</v>
      </c>
      <c r="B538" s="8" t="n">
        <v>45999</v>
      </c>
      <c r="C538" s="3" t="s">
        <v>1052</v>
      </c>
      <c r="D538" s="3" t="s">
        <v>1053</v>
      </c>
      <c r="E538" s="9" t="n">
        <v>355600</v>
      </c>
      <c r="F538" s="9"/>
      <c r="G538" s="9" t="n">
        <f aca="false">N(F538)-N(E538)</f>
        <v>-355600</v>
      </c>
      <c r="H538" s="3" t="n">
        <f aca="false">MONTH(B538)</f>
        <v>12</v>
      </c>
      <c r="I538" s="3" t="s">
        <v>1888</v>
      </c>
      <c r="J538" s="3" t="s">
        <v>1883</v>
      </c>
      <c r="K538" s="3" t="s">
        <v>1884</v>
      </c>
      <c r="L538" s="3" t="s">
        <v>1885</v>
      </c>
      <c r="M538" s="3" t="s">
        <v>1811</v>
      </c>
      <c r="N538" s="11"/>
    </row>
    <row r="539" customFormat="false" ht="15" hidden="false" customHeight="false" outlineLevel="0" collapsed="false">
      <c r="A539" s="3" t="n">
        <v>535</v>
      </c>
      <c r="B539" s="8" t="n">
        <v>45999</v>
      </c>
      <c r="C539" s="3" t="s">
        <v>1054</v>
      </c>
      <c r="D539" s="3" t="s">
        <v>1055</v>
      </c>
      <c r="E539" s="9" t="n">
        <v>303365.91</v>
      </c>
      <c r="F539" s="9"/>
      <c r="G539" s="9" t="n">
        <f aca="false">N(F539)-N(E539)</f>
        <v>-303365.91</v>
      </c>
      <c r="H539" s="3" t="n">
        <f aca="false">MONTH(B539)</f>
        <v>12</v>
      </c>
      <c r="I539" s="3" t="s">
        <v>1893</v>
      </c>
      <c r="J539" s="3" t="s">
        <v>1883</v>
      </c>
      <c r="K539" s="3" t="s">
        <v>1884</v>
      </c>
      <c r="L539" s="3" t="s">
        <v>1885</v>
      </c>
      <c r="M539" s="3" t="s">
        <v>1812</v>
      </c>
      <c r="N539" s="11" t="s">
        <v>1894</v>
      </c>
    </row>
    <row r="540" customFormat="false" ht="15" hidden="false" customHeight="false" outlineLevel="0" collapsed="false">
      <c r="A540" s="3" t="n">
        <v>536</v>
      </c>
      <c r="B540" s="8" t="n">
        <v>46000</v>
      </c>
      <c r="C540" s="3" t="s">
        <v>1056</v>
      </c>
      <c r="D540" s="3" t="s">
        <v>1057</v>
      </c>
      <c r="E540" s="9"/>
      <c r="F540" s="9" t="n">
        <v>1330013.33</v>
      </c>
      <c r="G540" s="9" t="n">
        <f aca="false">N(F540)-N(E540)</f>
        <v>1330013.33</v>
      </c>
      <c r="H540" s="3" t="n">
        <f aca="false">MONTH(B540)</f>
        <v>12</v>
      </c>
      <c r="I540" s="3" t="s">
        <v>1891</v>
      </c>
      <c r="J540" s="3" t="s">
        <v>1883</v>
      </c>
      <c r="K540" s="3" t="s">
        <v>1884</v>
      </c>
      <c r="L540" s="3" t="s">
        <v>1885</v>
      </c>
      <c r="M540" s="3" t="s">
        <v>1813</v>
      </c>
      <c r="N540" s="11" t="s">
        <v>1892</v>
      </c>
    </row>
    <row r="541" customFormat="false" ht="15" hidden="false" customHeight="false" outlineLevel="0" collapsed="false">
      <c r="A541" s="3" t="n">
        <v>537</v>
      </c>
      <c r="B541" s="8" t="n">
        <v>46001</v>
      </c>
      <c r="C541" s="3" t="s">
        <v>1058</v>
      </c>
      <c r="D541" s="3" t="s">
        <v>1059</v>
      </c>
      <c r="E541" s="9"/>
      <c r="F541" s="9" t="n">
        <v>2648400</v>
      </c>
      <c r="G541" s="9" t="n">
        <f aca="false">N(F541)-N(E541)</f>
        <v>2648400</v>
      </c>
      <c r="H541" s="3" t="n">
        <f aca="false">MONTH(B541)</f>
        <v>12</v>
      </c>
      <c r="I541" s="3" t="s">
        <v>1882</v>
      </c>
      <c r="J541" s="3" t="s">
        <v>1883</v>
      </c>
      <c r="K541" s="3" t="s">
        <v>1884</v>
      </c>
      <c r="L541" s="3" t="s">
        <v>1885</v>
      </c>
      <c r="M541" s="3" t="s">
        <v>1817</v>
      </c>
      <c r="N541" s="11"/>
    </row>
    <row r="542" customFormat="false" ht="15" hidden="false" customHeight="false" outlineLevel="0" collapsed="false">
      <c r="A542" s="3" t="n">
        <v>538</v>
      </c>
      <c r="B542" s="8" t="n">
        <v>46001</v>
      </c>
      <c r="C542" s="3" t="s">
        <v>1060</v>
      </c>
      <c r="D542" s="3" t="s">
        <v>1061</v>
      </c>
      <c r="E542" s="9" t="n">
        <v>3123400</v>
      </c>
      <c r="F542" s="9"/>
      <c r="G542" s="9" t="n">
        <f aca="false">N(F542)-N(E542)</f>
        <v>-3123400</v>
      </c>
      <c r="H542" s="3" t="n">
        <f aca="false">MONTH(B542)</f>
        <v>12</v>
      </c>
      <c r="I542" s="3" t="s">
        <v>1899</v>
      </c>
      <c r="J542" s="3" t="s">
        <v>1883</v>
      </c>
      <c r="K542" s="3" t="s">
        <v>1884</v>
      </c>
      <c r="L542" s="3" t="s">
        <v>1885</v>
      </c>
      <c r="M542" s="3" t="s">
        <v>1819</v>
      </c>
      <c r="N542" s="11"/>
    </row>
    <row r="543" customFormat="false" ht="15" hidden="false" customHeight="false" outlineLevel="0" collapsed="false">
      <c r="A543" s="3" t="n">
        <v>539</v>
      </c>
      <c r="B543" s="8" t="n">
        <v>46001</v>
      </c>
      <c r="C543" s="3" t="s">
        <v>1062</v>
      </c>
      <c r="D543" s="3" t="s">
        <v>1063</v>
      </c>
      <c r="E543" s="9" t="n">
        <v>487060</v>
      </c>
      <c r="F543" s="9"/>
      <c r="G543" s="9" t="n">
        <f aca="false">N(F543)-N(E543)</f>
        <v>-487060</v>
      </c>
      <c r="H543" s="3" t="n">
        <f aca="false">MONTH(B543)</f>
        <v>12</v>
      </c>
      <c r="I543" s="3" t="s">
        <v>1898</v>
      </c>
      <c r="J543" s="3" t="s">
        <v>1883</v>
      </c>
      <c r="K543" s="3" t="s">
        <v>1884</v>
      </c>
      <c r="L543" s="3" t="s">
        <v>1885</v>
      </c>
      <c r="M543" s="3" t="s">
        <v>1820</v>
      </c>
      <c r="N543" s="11"/>
    </row>
    <row r="544" customFormat="false" ht="15" hidden="false" customHeight="false" outlineLevel="0" collapsed="false">
      <c r="A544" s="3" t="n">
        <v>540</v>
      </c>
      <c r="B544" s="8" t="n">
        <v>46001</v>
      </c>
      <c r="C544" s="3" t="s">
        <v>1064</v>
      </c>
      <c r="D544" s="3" t="s">
        <v>1065</v>
      </c>
      <c r="E544" s="9" t="n">
        <v>1057421.95</v>
      </c>
      <c r="F544" s="9"/>
      <c r="G544" s="9" t="n">
        <f aca="false">N(F544)-N(E544)</f>
        <v>-1057421.95</v>
      </c>
      <c r="H544" s="3" t="n">
        <f aca="false">MONTH(B544)</f>
        <v>12</v>
      </c>
      <c r="I544" s="3" t="s">
        <v>1944</v>
      </c>
      <c r="J544" s="3" t="s">
        <v>1920</v>
      </c>
      <c r="K544" s="3" t="s">
        <v>1884</v>
      </c>
      <c r="L544" s="3" t="s">
        <v>1939</v>
      </c>
      <c r="M544" s="3" t="s">
        <v>1940</v>
      </c>
      <c r="N544" s="11" t="s">
        <v>1945</v>
      </c>
    </row>
    <row r="545" customFormat="false" ht="15" hidden="false" customHeight="false" outlineLevel="0" collapsed="false">
      <c r="A545" s="3" t="n">
        <v>541</v>
      </c>
      <c r="B545" s="8" t="n">
        <v>46003</v>
      </c>
      <c r="C545" s="3" t="s">
        <v>1066</v>
      </c>
      <c r="D545" s="3" t="s">
        <v>1067</v>
      </c>
      <c r="E545" s="9" t="n">
        <v>117856.6</v>
      </c>
      <c r="F545" s="9"/>
      <c r="G545" s="9" t="n">
        <f aca="false">N(F545)-N(E545)</f>
        <v>-117856.6</v>
      </c>
      <c r="H545" s="3" t="n">
        <f aca="false">MONTH(B545)</f>
        <v>12</v>
      </c>
      <c r="I545" s="3" t="s">
        <v>1900</v>
      </c>
      <c r="J545" s="3" t="s">
        <v>1883</v>
      </c>
      <c r="K545" s="3" t="s">
        <v>1884</v>
      </c>
      <c r="L545" s="3" t="s">
        <v>1885</v>
      </c>
      <c r="M545" s="3" t="s">
        <v>1814</v>
      </c>
      <c r="N545" s="11"/>
    </row>
    <row r="546" customFormat="false" ht="15" hidden="false" customHeight="false" outlineLevel="0" collapsed="false">
      <c r="A546" s="16" t="n">
        <v>542</v>
      </c>
      <c r="B546" s="17" t="n">
        <v>46003</v>
      </c>
      <c r="C546" s="16" t="s">
        <v>1068</v>
      </c>
      <c r="D546" s="16" t="s">
        <v>198</v>
      </c>
      <c r="E546" s="18" t="n">
        <v>1500000</v>
      </c>
      <c r="F546" s="18"/>
      <c r="G546" s="18" t="n">
        <f aca="false">N(F546)-N(E546)</f>
        <v>-1500000</v>
      </c>
      <c r="H546" s="16" t="n">
        <f aca="false">MONTH(B546)</f>
        <v>12</v>
      </c>
      <c r="I546" s="16" t="s">
        <v>1923</v>
      </c>
      <c r="J546" s="16" t="s">
        <v>1920</v>
      </c>
      <c r="K546" s="16" t="s">
        <v>1921</v>
      </c>
      <c r="L546" s="16" t="s">
        <v>1885</v>
      </c>
      <c r="M546" s="16" t="s">
        <v>1822</v>
      </c>
      <c r="N546" s="19"/>
    </row>
    <row r="547" customFormat="false" ht="15" hidden="false" customHeight="false" outlineLevel="0" collapsed="false">
      <c r="A547" s="3" t="n">
        <v>543</v>
      </c>
      <c r="B547" s="8" t="n">
        <v>46006</v>
      </c>
      <c r="C547" s="3" t="s">
        <v>1069</v>
      </c>
      <c r="D547" s="3" t="s">
        <v>1070</v>
      </c>
      <c r="E547" s="9"/>
      <c r="F547" s="9" t="n">
        <v>5788500</v>
      </c>
      <c r="G547" s="9" t="n">
        <f aca="false">N(F547)-N(E547)</f>
        <v>5788500</v>
      </c>
      <c r="H547" s="3" t="n">
        <f aca="false">MONTH(B547)</f>
        <v>12</v>
      </c>
      <c r="I547" s="3" t="s">
        <v>1882</v>
      </c>
      <c r="J547" s="3" t="s">
        <v>1883</v>
      </c>
      <c r="K547" s="3" t="s">
        <v>1884</v>
      </c>
      <c r="L547" s="3" t="s">
        <v>1885</v>
      </c>
      <c r="M547" s="3" t="s">
        <v>1823</v>
      </c>
      <c r="N547" s="11"/>
    </row>
    <row r="548" customFormat="false" ht="15" hidden="false" customHeight="false" outlineLevel="0" collapsed="false">
      <c r="A548" s="3" t="n">
        <v>544</v>
      </c>
      <c r="B548" s="8" t="n">
        <v>46006</v>
      </c>
      <c r="C548" s="3" t="s">
        <v>1071</v>
      </c>
      <c r="D548" s="3" t="s">
        <v>1072</v>
      </c>
      <c r="E548" s="9"/>
      <c r="F548" s="9" t="n">
        <v>2979800</v>
      </c>
      <c r="G548" s="9" t="n">
        <f aca="false">N(F548)-N(E548)</f>
        <v>2979800</v>
      </c>
      <c r="H548" s="3" t="n">
        <f aca="false">MONTH(B548)</f>
        <v>12</v>
      </c>
      <c r="I548" s="3" t="s">
        <v>1882</v>
      </c>
      <c r="J548" s="3" t="s">
        <v>1883</v>
      </c>
      <c r="K548" s="3" t="s">
        <v>1884</v>
      </c>
      <c r="L548" s="3" t="s">
        <v>1885</v>
      </c>
      <c r="M548" s="3" t="s">
        <v>1825</v>
      </c>
      <c r="N548" s="11"/>
    </row>
    <row r="549" customFormat="false" ht="15" hidden="false" customHeight="false" outlineLevel="0" collapsed="false">
      <c r="A549" s="3" t="n">
        <v>545</v>
      </c>
      <c r="B549" s="8" t="n">
        <v>46006</v>
      </c>
      <c r="C549" s="3" t="s">
        <v>1073</v>
      </c>
      <c r="D549" s="3" t="s">
        <v>1074</v>
      </c>
      <c r="E549" s="9"/>
      <c r="F549" s="9" t="n">
        <v>1994179.2</v>
      </c>
      <c r="G549" s="9" t="n">
        <f aca="false">N(F549)-N(E549)</f>
        <v>1994179.2</v>
      </c>
      <c r="H549" s="3" t="n">
        <f aca="false">MONTH(B549)</f>
        <v>12</v>
      </c>
      <c r="I549" s="3" t="s">
        <v>1886</v>
      </c>
      <c r="J549" s="3" t="s">
        <v>1883</v>
      </c>
      <c r="K549" s="3" t="s">
        <v>1884</v>
      </c>
      <c r="L549" s="3" t="s">
        <v>1885</v>
      </c>
      <c r="M549" s="3" t="s">
        <v>1827</v>
      </c>
      <c r="N549" s="11" t="s">
        <v>1887</v>
      </c>
    </row>
    <row r="550" customFormat="false" ht="15" hidden="false" customHeight="false" outlineLevel="0" collapsed="false">
      <c r="A550" s="12" t="n">
        <v>546</v>
      </c>
      <c r="B550" s="13" t="n">
        <v>46006</v>
      </c>
      <c r="C550" s="12" t="s">
        <v>1075</v>
      </c>
      <c r="D550" s="12" t="s">
        <v>192</v>
      </c>
      <c r="E550" s="14"/>
      <c r="F550" s="14" t="n">
        <v>1386624.8</v>
      </c>
      <c r="G550" s="14" t="n">
        <f aca="false">N(F550)-N(E550)</f>
        <v>1386624.8</v>
      </c>
      <c r="H550" s="12" t="n">
        <f aca="false">MONTH(B550)</f>
        <v>12</v>
      </c>
      <c r="I550" s="12" t="s">
        <v>1895</v>
      </c>
      <c r="J550" s="12" t="s">
        <v>1883</v>
      </c>
      <c r="K550" s="12" t="s">
        <v>1896</v>
      </c>
      <c r="L550" s="12" t="s">
        <v>1885</v>
      </c>
      <c r="M550" s="12" t="s">
        <v>1828</v>
      </c>
      <c r="N550" s="15" t="s">
        <v>1897</v>
      </c>
    </row>
    <row r="551" customFormat="false" ht="15" hidden="false" customHeight="false" outlineLevel="0" collapsed="false">
      <c r="A551" s="12" t="n">
        <v>547</v>
      </c>
      <c r="B551" s="13" t="n">
        <v>46006</v>
      </c>
      <c r="C551" s="12" t="s">
        <v>1076</v>
      </c>
      <c r="D551" s="12" t="s">
        <v>146</v>
      </c>
      <c r="E551" s="14"/>
      <c r="F551" s="14" t="n">
        <v>1756848.52</v>
      </c>
      <c r="G551" s="14" t="n">
        <f aca="false">N(F551)-N(E551)</f>
        <v>1756848.52</v>
      </c>
      <c r="H551" s="12" t="n">
        <f aca="false">MONTH(B551)</f>
        <v>12</v>
      </c>
      <c r="I551" s="12" t="s">
        <v>1895</v>
      </c>
      <c r="J551" s="12" t="s">
        <v>1883</v>
      </c>
      <c r="K551" s="12" t="s">
        <v>1896</v>
      </c>
      <c r="L551" s="12" t="s">
        <v>1885</v>
      </c>
      <c r="M551" s="12" t="s">
        <v>1829</v>
      </c>
      <c r="N551" s="15" t="s">
        <v>1897</v>
      </c>
    </row>
    <row r="552" customFormat="false" ht="15" hidden="false" customHeight="false" outlineLevel="0" collapsed="false">
      <c r="A552" s="3" t="n">
        <v>548</v>
      </c>
      <c r="B552" s="8" t="n">
        <v>46006</v>
      </c>
      <c r="C552" s="3" t="s">
        <v>1077</v>
      </c>
      <c r="D552" s="3" t="s">
        <v>1078</v>
      </c>
      <c r="E552" s="9" t="n">
        <v>3088500</v>
      </c>
      <c r="F552" s="9"/>
      <c r="G552" s="9" t="n">
        <f aca="false">N(F552)-N(E552)</f>
        <v>-3088500</v>
      </c>
      <c r="H552" s="3" t="n">
        <f aca="false">MONTH(B552)</f>
        <v>12</v>
      </c>
      <c r="I552" s="3" t="s">
        <v>1899</v>
      </c>
      <c r="J552" s="3" t="s">
        <v>1883</v>
      </c>
      <c r="K552" s="3" t="s">
        <v>1884</v>
      </c>
      <c r="L552" s="3" t="s">
        <v>1885</v>
      </c>
      <c r="M552" s="3" t="s">
        <v>1815</v>
      </c>
      <c r="N552" s="11"/>
    </row>
    <row r="553" customFormat="false" ht="15" hidden="false" customHeight="false" outlineLevel="0" collapsed="false">
      <c r="A553" s="3" t="n">
        <v>549</v>
      </c>
      <c r="B553" s="8" t="n">
        <v>46006</v>
      </c>
      <c r="C553" s="3" t="s">
        <v>1079</v>
      </c>
      <c r="D553" s="3" t="s">
        <v>1080</v>
      </c>
      <c r="E553" s="9" t="n">
        <v>2916600</v>
      </c>
      <c r="F553" s="9"/>
      <c r="G553" s="9" t="n">
        <f aca="false">N(F553)-N(E553)</f>
        <v>-2916600</v>
      </c>
      <c r="H553" s="3" t="n">
        <f aca="false">MONTH(B553)</f>
        <v>12</v>
      </c>
      <c r="I553" s="3" t="s">
        <v>1899</v>
      </c>
      <c r="J553" s="3" t="s">
        <v>1883</v>
      </c>
      <c r="K553" s="3" t="s">
        <v>1884</v>
      </c>
      <c r="L553" s="3" t="s">
        <v>1885</v>
      </c>
      <c r="M553" s="3" t="s">
        <v>1830</v>
      </c>
      <c r="N553" s="11"/>
    </row>
    <row r="554" customFormat="false" ht="15" hidden="false" customHeight="false" outlineLevel="0" collapsed="false">
      <c r="A554" s="3" t="n">
        <v>550</v>
      </c>
      <c r="B554" s="8" t="n">
        <v>46006</v>
      </c>
      <c r="C554" s="3" t="s">
        <v>1081</v>
      </c>
      <c r="D554" s="3" t="s">
        <v>1082</v>
      </c>
      <c r="E554" s="9" t="n">
        <v>894600</v>
      </c>
      <c r="F554" s="9"/>
      <c r="G554" s="9" t="n">
        <f aca="false">N(F554)-N(E554)</f>
        <v>-894600</v>
      </c>
      <c r="H554" s="3" t="n">
        <f aca="false">MONTH(B554)</f>
        <v>12</v>
      </c>
      <c r="I554" s="3" t="s">
        <v>1903</v>
      </c>
      <c r="J554" s="3" t="s">
        <v>1883</v>
      </c>
      <c r="K554" s="3" t="s">
        <v>1884</v>
      </c>
      <c r="L554" s="3" t="s">
        <v>1885</v>
      </c>
      <c r="M554" s="3" t="s">
        <v>1831</v>
      </c>
      <c r="N554" s="11"/>
    </row>
    <row r="555" customFormat="false" ht="15" hidden="false" customHeight="false" outlineLevel="0" collapsed="false">
      <c r="A555" s="3" t="n">
        <v>551</v>
      </c>
      <c r="B555" s="8" t="n">
        <v>46006</v>
      </c>
      <c r="C555" s="3" t="s">
        <v>1083</v>
      </c>
      <c r="D555" s="3" t="s">
        <v>1084</v>
      </c>
      <c r="E555" s="9" t="n">
        <v>283132.32</v>
      </c>
      <c r="F555" s="9"/>
      <c r="G555" s="9" t="n">
        <f aca="false">N(F555)-N(E555)</f>
        <v>-283132.32</v>
      </c>
      <c r="H555" s="3" t="n">
        <f aca="false">MONTH(B555)</f>
        <v>12</v>
      </c>
      <c r="I555" s="3" t="s">
        <v>1901</v>
      </c>
      <c r="J555" s="3" t="s">
        <v>1883</v>
      </c>
      <c r="K555" s="3" t="s">
        <v>1884</v>
      </c>
      <c r="L555" s="3" t="s">
        <v>1885</v>
      </c>
      <c r="M555" s="3" t="s">
        <v>1833</v>
      </c>
      <c r="N555" s="11" t="s">
        <v>1902</v>
      </c>
    </row>
    <row r="556" customFormat="false" ht="15" hidden="false" customHeight="false" outlineLevel="0" collapsed="false">
      <c r="A556" s="12" t="n">
        <v>552</v>
      </c>
      <c r="B556" s="13" t="n">
        <v>46007</v>
      </c>
      <c r="C556" s="12" t="s">
        <v>1085</v>
      </c>
      <c r="D556" s="12" t="s">
        <v>1086</v>
      </c>
      <c r="E556" s="14" t="n">
        <v>452000</v>
      </c>
      <c r="F556" s="14"/>
      <c r="G556" s="14" t="n">
        <f aca="false">N(F556)-N(E556)</f>
        <v>-452000</v>
      </c>
      <c r="H556" s="12" t="n">
        <f aca="false">MONTH(B556)</f>
        <v>12</v>
      </c>
      <c r="I556" s="12" t="s">
        <v>1908</v>
      </c>
      <c r="J556" s="12" t="s">
        <v>1883</v>
      </c>
      <c r="K556" s="12" t="s">
        <v>1896</v>
      </c>
      <c r="L556" s="12" t="s">
        <v>1885</v>
      </c>
      <c r="M556" s="12" t="s">
        <v>1834</v>
      </c>
      <c r="N556" s="15" t="s">
        <v>1909</v>
      </c>
    </row>
    <row r="557" customFormat="false" ht="15" hidden="false" customHeight="false" outlineLevel="0" collapsed="false">
      <c r="A557" s="12" t="n">
        <v>553</v>
      </c>
      <c r="B557" s="13" t="n">
        <v>46008</v>
      </c>
      <c r="C557" s="12" t="s">
        <v>1087</v>
      </c>
      <c r="D557" s="12" t="s">
        <v>732</v>
      </c>
      <c r="E557" s="14" t="n">
        <v>284000</v>
      </c>
      <c r="F557" s="14"/>
      <c r="G557" s="14" t="n">
        <f aca="false">N(F557)-N(E557)</f>
        <v>-284000</v>
      </c>
      <c r="H557" s="12" t="n">
        <f aca="false">MONTH(B557)</f>
        <v>12</v>
      </c>
      <c r="I557" s="12" t="s">
        <v>1933</v>
      </c>
      <c r="J557" s="12" t="s">
        <v>1883</v>
      </c>
      <c r="K557" s="12" t="s">
        <v>1896</v>
      </c>
      <c r="L557" s="12" t="s">
        <v>1885</v>
      </c>
      <c r="M557" s="12" t="s">
        <v>1835</v>
      </c>
      <c r="N557" s="15" t="s">
        <v>1934</v>
      </c>
    </row>
    <row r="558" customFormat="false" ht="15" hidden="false" customHeight="false" outlineLevel="0" collapsed="false">
      <c r="A558" s="3" t="n">
        <v>554</v>
      </c>
      <c r="B558" s="8" t="n">
        <v>46010</v>
      </c>
      <c r="C558" s="3" t="s">
        <v>1088</v>
      </c>
      <c r="D558" s="3" t="s">
        <v>1089</v>
      </c>
      <c r="E558" s="9" t="n">
        <v>2729800</v>
      </c>
      <c r="F558" s="9"/>
      <c r="G558" s="9" t="n">
        <f aca="false">N(F558)-N(E558)</f>
        <v>-2729800</v>
      </c>
      <c r="H558" s="3" t="n">
        <f aca="false">MONTH(B558)</f>
        <v>12</v>
      </c>
      <c r="I558" s="3" t="s">
        <v>1899</v>
      </c>
      <c r="J558" s="3" t="s">
        <v>1883</v>
      </c>
      <c r="K558" s="3" t="s">
        <v>1884</v>
      </c>
      <c r="L558" s="3" t="s">
        <v>1885</v>
      </c>
      <c r="M558" s="3" t="s">
        <v>1836</v>
      </c>
      <c r="N558" s="11"/>
    </row>
    <row r="559" customFormat="false" ht="15" hidden="false" customHeight="false" outlineLevel="0" collapsed="false">
      <c r="A559" s="3" t="n">
        <v>555</v>
      </c>
      <c r="B559" s="8" t="n">
        <v>46010</v>
      </c>
      <c r="C559" s="3" t="s">
        <v>1090</v>
      </c>
      <c r="D559" s="3" t="s">
        <v>1091</v>
      </c>
      <c r="E559" s="9" t="n">
        <v>3676800</v>
      </c>
      <c r="F559" s="9"/>
      <c r="G559" s="9" t="n">
        <f aca="false">N(F559)-N(E559)</f>
        <v>-3676800</v>
      </c>
      <c r="H559" s="3" t="n">
        <f aca="false">MONTH(B559)</f>
        <v>12</v>
      </c>
      <c r="I559" s="3" t="s">
        <v>1910</v>
      </c>
      <c r="J559" s="3" t="s">
        <v>1883</v>
      </c>
      <c r="K559" s="3" t="s">
        <v>1884</v>
      </c>
      <c r="L559" s="3" t="s">
        <v>1885</v>
      </c>
      <c r="M559" s="3" t="s">
        <v>1837</v>
      </c>
      <c r="N559" s="11" t="s">
        <v>1980</v>
      </c>
    </row>
    <row r="560" customFormat="false" ht="15" hidden="false" customHeight="false" outlineLevel="0" collapsed="false">
      <c r="A560" s="3" t="n">
        <v>556</v>
      </c>
      <c r="B560" s="8" t="n">
        <v>46013</v>
      </c>
      <c r="C560" s="3" t="s">
        <v>1092</v>
      </c>
      <c r="D560" s="3" t="s">
        <v>1093</v>
      </c>
      <c r="E560" s="9"/>
      <c r="F560" s="9" t="n">
        <v>1469388.59</v>
      </c>
      <c r="G560" s="9" t="n">
        <f aca="false">N(F560)-N(E560)</f>
        <v>1469388.59</v>
      </c>
      <c r="H560" s="3" t="n">
        <f aca="false">MONTH(B560)</f>
        <v>12</v>
      </c>
      <c r="I560" s="3" t="s">
        <v>1886</v>
      </c>
      <c r="J560" s="3" t="s">
        <v>1883</v>
      </c>
      <c r="K560" s="3" t="s">
        <v>1884</v>
      </c>
      <c r="L560" s="3" t="s">
        <v>1885</v>
      </c>
      <c r="M560" s="3" t="s">
        <v>1841</v>
      </c>
      <c r="N560" s="11" t="s">
        <v>1887</v>
      </c>
    </row>
    <row r="561" customFormat="false" ht="15" hidden="false" customHeight="false" outlineLevel="0" collapsed="false">
      <c r="A561" s="3" t="n">
        <v>557</v>
      </c>
      <c r="B561" s="8" t="n">
        <v>46013</v>
      </c>
      <c r="C561" s="3" t="s">
        <v>1094</v>
      </c>
      <c r="D561" s="3" t="s">
        <v>1095</v>
      </c>
      <c r="E561" s="9" t="n">
        <v>1727445.77</v>
      </c>
      <c r="F561" s="9"/>
      <c r="G561" s="9" t="n">
        <f aca="false">N(F561)-N(E561)</f>
        <v>-1727445.77</v>
      </c>
      <c r="H561" s="3" t="n">
        <f aca="false">MONTH(B561)</f>
        <v>12</v>
      </c>
      <c r="I561" s="3" t="s">
        <v>1904</v>
      </c>
      <c r="J561" s="3" t="s">
        <v>1883</v>
      </c>
      <c r="K561" s="3" t="s">
        <v>1884</v>
      </c>
      <c r="L561" s="3" t="s">
        <v>1885</v>
      </c>
      <c r="M561" s="3" t="s">
        <v>1842</v>
      </c>
      <c r="N561" s="11" t="s">
        <v>1905</v>
      </c>
    </row>
    <row r="562" customFormat="false" ht="15" hidden="false" customHeight="false" outlineLevel="0" collapsed="false">
      <c r="A562" s="3" t="n">
        <v>558</v>
      </c>
      <c r="B562" s="8" t="n">
        <v>46013</v>
      </c>
      <c r="C562" s="3" t="s">
        <v>1096</v>
      </c>
      <c r="D562" s="3" t="s">
        <v>1097</v>
      </c>
      <c r="E562" s="9" t="n">
        <v>214605.23</v>
      </c>
      <c r="F562" s="9"/>
      <c r="G562" s="9" t="n">
        <f aca="false">N(F562)-N(E562)</f>
        <v>-214605.23</v>
      </c>
      <c r="H562" s="3" t="n">
        <f aca="false">MONTH(B562)</f>
        <v>12</v>
      </c>
      <c r="I562" s="3" t="s">
        <v>1906</v>
      </c>
      <c r="J562" s="3" t="s">
        <v>1883</v>
      </c>
      <c r="K562" s="3" t="s">
        <v>1884</v>
      </c>
      <c r="L562" s="3" t="s">
        <v>1885</v>
      </c>
      <c r="M562" s="3" t="s">
        <v>1844</v>
      </c>
      <c r="N562" s="11"/>
    </row>
    <row r="563" customFormat="false" ht="15" hidden="false" customHeight="false" outlineLevel="0" collapsed="false">
      <c r="A563" s="12" t="n">
        <v>559</v>
      </c>
      <c r="B563" s="13" t="n">
        <v>46013</v>
      </c>
      <c r="C563" s="12" t="s">
        <v>1098</v>
      </c>
      <c r="D563" s="12" t="s">
        <v>1099</v>
      </c>
      <c r="E563" s="14" t="n">
        <v>620000</v>
      </c>
      <c r="F563" s="14"/>
      <c r="G563" s="14" t="n">
        <f aca="false">N(F563)-N(E563)</f>
        <v>-620000</v>
      </c>
      <c r="H563" s="12" t="n">
        <f aca="false">MONTH(B563)</f>
        <v>12</v>
      </c>
      <c r="I563" s="12" t="s">
        <v>1908</v>
      </c>
      <c r="J563" s="12" t="s">
        <v>1883</v>
      </c>
      <c r="K563" s="12" t="s">
        <v>1896</v>
      </c>
      <c r="L563" s="12" t="s">
        <v>1885</v>
      </c>
      <c r="M563" s="12" t="s">
        <v>1845</v>
      </c>
      <c r="N563" s="15" t="s">
        <v>1909</v>
      </c>
    </row>
    <row r="564" customFormat="false" ht="15" hidden="false" customHeight="false" outlineLevel="0" collapsed="false">
      <c r="A564" s="3" t="n">
        <v>560</v>
      </c>
      <c r="B564" s="8" t="n">
        <v>46014</v>
      </c>
      <c r="C564" s="3" t="s">
        <v>1100</v>
      </c>
      <c r="D564" s="3" t="s">
        <v>1101</v>
      </c>
      <c r="E564" s="9"/>
      <c r="F564" s="9" t="n">
        <v>1442000.87</v>
      </c>
      <c r="G564" s="9" t="n">
        <f aca="false">N(F564)-N(E564)</f>
        <v>1442000.87</v>
      </c>
      <c r="H564" s="3" t="n">
        <f aca="false">MONTH(B564)</f>
        <v>12</v>
      </c>
      <c r="I564" s="3" t="s">
        <v>1891</v>
      </c>
      <c r="J564" s="3" t="s">
        <v>1883</v>
      </c>
      <c r="K564" s="3" t="s">
        <v>1884</v>
      </c>
      <c r="L564" s="3" t="s">
        <v>1885</v>
      </c>
      <c r="M564" s="3" t="s">
        <v>1839</v>
      </c>
      <c r="N564" s="11" t="s">
        <v>1892</v>
      </c>
    </row>
    <row r="565" customFormat="false" ht="15" hidden="false" customHeight="false" outlineLevel="0" collapsed="false">
      <c r="A565" s="3" t="n">
        <v>561</v>
      </c>
      <c r="B565" s="8" t="n">
        <v>46015</v>
      </c>
      <c r="C565" s="3" t="s">
        <v>1102</v>
      </c>
      <c r="D565" s="3" t="s">
        <v>1103</v>
      </c>
      <c r="E565" s="9" t="n">
        <v>322368.72</v>
      </c>
      <c r="F565" s="9"/>
      <c r="G565" s="9" t="n">
        <f aca="false">N(F565)-N(E565)</f>
        <v>-322368.72</v>
      </c>
      <c r="H565" s="3" t="n">
        <f aca="false">MONTH(B565)</f>
        <v>12</v>
      </c>
      <c r="I565" s="3" t="s">
        <v>1893</v>
      </c>
      <c r="J565" s="3" t="s">
        <v>1883</v>
      </c>
      <c r="K565" s="3" t="s">
        <v>1884</v>
      </c>
      <c r="L565" s="3" t="s">
        <v>1885</v>
      </c>
      <c r="M565" s="3" t="s">
        <v>1840</v>
      </c>
      <c r="N565" s="11" t="s">
        <v>1894</v>
      </c>
    </row>
    <row r="566" customFormat="false" ht="15" hidden="false" customHeight="false" outlineLevel="0" collapsed="false">
      <c r="A566" s="3" t="n">
        <v>562</v>
      </c>
      <c r="B566" s="8" t="n">
        <v>46017</v>
      </c>
      <c r="C566" s="3" t="s">
        <v>1104</v>
      </c>
      <c r="D566" s="3" t="s">
        <v>1105</v>
      </c>
      <c r="E566" s="9"/>
      <c r="F566" s="9" t="n">
        <v>4927600</v>
      </c>
      <c r="G566" s="9" t="n">
        <f aca="false">N(F566)-N(E566)</f>
        <v>4927600</v>
      </c>
      <c r="H566" s="3" t="n">
        <f aca="false">MONTH(B566)</f>
        <v>12</v>
      </c>
      <c r="I566" s="3" t="s">
        <v>1882</v>
      </c>
      <c r="J566" s="3" t="s">
        <v>1883</v>
      </c>
      <c r="K566" s="3" t="s">
        <v>1884</v>
      </c>
      <c r="L566" s="3" t="s">
        <v>1885</v>
      </c>
      <c r="M566" s="3" t="s">
        <v>1846</v>
      </c>
      <c r="N566" s="11"/>
    </row>
    <row r="567" customFormat="false" ht="15" hidden="false" customHeight="false" outlineLevel="0" collapsed="false">
      <c r="A567" s="3" t="n">
        <v>563</v>
      </c>
      <c r="B567" s="8" t="n">
        <v>46017</v>
      </c>
      <c r="C567" s="3" t="s">
        <v>1106</v>
      </c>
      <c r="D567" s="3" t="s">
        <v>1107</v>
      </c>
      <c r="E567" s="9"/>
      <c r="F567" s="9" t="n">
        <v>5127200</v>
      </c>
      <c r="G567" s="9" t="n">
        <f aca="false">N(F567)-N(E567)</f>
        <v>5127200</v>
      </c>
      <c r="H567" s="3" t="n">
        <f aca="false">MONTH(B567)</f>
        <v>12</v>
      </c>
      <c r="I567" s="3" t="s">
        <v>1882</v>
      </c>
      <c r="J567" s="3" t="s">
        <v>1883</v>
      </c>
      <c r="K567" s="3" t="s">
        <v>1884</v>
      </c>
      <c r="L567" s="3" t="s">
        <v>1885</v>
      </c>
      <c r="M567" s="3" t="s">
        <v>1848</v>
      </c>
      <c r="N567" s="11"/>
    </row>
    <row r="568" customFormat="false" ht="15" hidden="false" customHeight="false" outlineLevel="0" collapsed="false">
      <c r="A568" s="3" t="n">
        <v>564</v>
      </c>
      <c r="B568" s="8" t="n">
        <v>46020</v>
      </c>
      <c r="C568" s="3" t="s">
        <v>1108</v>
      </c>
      <c r="D568" s="3" t="s">
        <v>1109</v>
      </c>
      <c r="E568" s="9"/>
      <c r="F568" s="9" t="n">
        <v>4328300</v>
      </c>
      <c r="G568" s="9" t="n">
        <f aca="false">N(F568)-N(E568)</f>
        <v>4328300</v>
      </c>
      <c r="H568" s="3" t="n">
        <f aca="false">MONTH(B568)</f>
        <v>12</v>
      </c>
      <c r="I568" s="3" t="s">
        <v>1882</v>
      </c>
      <c r="J568" s="3" t="s">
        <v>1883</v>
      </c>
      <c r="K568" s="3" t="s">
        <v>1884</v>
      </c>
      <c r="L568" s="3" t="s">
        <v>1885</v>
      </c>
      <c r="M568" s="3" t="s">
        <v>1851</v>
      </c>
      <c r="N568" s="11"/>
    </row>
    <row r="569" customFormat="false" ht="15" hidden="false" customHeight="false" outlineLevel="0" collapsed="false">
      <c r="A569" s="3" t="n">
        <v>565</v>
      </c>
      <c r="B569" s="8" t="n">
        <v>46020</v>
      </c>
      <c r="C569" s="3" t="s">
        <v>1110</v>
      </c>
      <c r="D569" s="3" t="s">
        <v>1111</v>
      </c>
      <c r="E569" s="9"/>
      <c r="F569" s="9" t="n">
        <v>1893646.13</v>
      </c>
      <c r="G569" s="9" t="n">
        <f aca="false">N(F569)-N(E569)</f>
        <v>1893646.13</v>
      </c>
      <c r="H569" s="3" t="n">
        <f aca="false">MONTH(B569)</f>
        <v>12</v>
      </c>
      <c r="I569" s="3" t="s">
        <v>1886</v>
      </c>
      <c r="J569" s="3" t="s">
        <v>1883</v>
      </c>
      <c r="K569" s="3" t="s">
        <v>1884</v>
      </c>
      <c r="L569" s="3" t="s">
        <v>1885</v>
      </c>
      <c r="M569" s="3" t="s">
        <v>1850</v>
      </c>
      <c r="N569" s="11" t="s">
        <v>1887</v>
      </c>
    </row>
    <row r="570" customFormat="false" ht="15" hidden="false" customHeight="false" outlineLevel="0" collapsed="false">
      <c r="A570" s="3" t="n">
        <v>566</v>
      </c>
      <c r="B570" s="8" t="n">
        <v>46020</v>
      </c>
      <c r="C570" s="3" t="s">
        <v>1112</v>
      </c>
      <c r="D570" s="3" t="s">
        <v>1113</v>
      </c>
      <c r="E570" s="9" t="n">
        <v>4085300</v>
      </c>
      <c r="F570" s="9"/>
      <c r="G570" s="9" t="n">
        <f aca="false">N(F570)-N(E570)</f>
        <v>-4085300</v>
      </c>
      <c r="H570" s="3" t="n">
        <f aca="false">MONTH(B570)</f>
        <v>12</v>
      </c>
      <c r="I570" s="3" t="s">
        <v>1910</v>
      </c>
      <c r="J570" s="3" t="s">
        <v>1883</v>
      </c>
      <c r="K570" s="3" t="s">
        <v>1884</v>
      </c>
      <c r="L570" s="3" t="s">
        <v>1885</v>
      </c>
      <c r="M570" s="3" t="s">
        <v>1853</v>
      </c>
      <c r="N570" s="11"/>
    </row>
    <row r="571" customFormat="false" ht="15" hidden="false" customHeight="false" outlineLevel="0" collapsed="false">
      <c r="A571" s="3" t="n">
        <v>567</v>
      </c>
      <c r="B571" s="8" t="n">
        <v>46020</v>
      </c>
      <c r="C571" s="3" t="s">
        <v>1114</v>
      </c>
      <c r="D571" s="3" t="s">
        <v>1115</v>
      </c>
      <c r="E571" s="9" t="n">
        <v>195613.23</v>
      </c>
      <c r="F571" s="9"/>
      <c r="G571" s="9" t="n">
        <f aca="false">N(F571)-N(E571)</f>
        <v>-195613.23</v>
      </c>
      <c r="H571" s="3" t="n">
        <f aca="false">MONTH(B571)</f>
        <v>12</v>
      </c>
      <c r="I571" s="3" t="s">
        <v>1893</v>
      </c>
      <c r="J571" s="3" t="s">
        <v>1883</v>
      </c>
      <c r="K571" s="3" t="s">
        <v>1884</v>
      </c>
      <c r="L571" s="3" t="s">
        <v>1885</v>
      </c>
      <c r="M571" s="3" t="s">
        <v>1855</v>
      </c>
      <c r="N571" s="11" t="s">
        <v>1894</v>
      </c>
    </row>
    <row r="572" customFormat="false" ht="15" hidden="false" customHeight="false" outlineLevel="0" collapsed="false">
      <c r="A572" s="3" t="n">
        <v>568</v>
      </c>
      <c r="B572" s="8" t="n">
        <v>46022</v>
      </c>
      <c r="C572" s="3" t="s">
        <v>1116</v>
      </c>
      <c r="D572" s="3" t="s">
        <v>315</v>
      </c>
      <c r="E572" s="9"/>
      <c r="F572" s="9" t="n">
        <v>40607.24</v>
      </c>
      <c r="G572" s="9" t="n">
        <f aca="false">N(F572)-N(E572)</f>
        <v>40607.24</v>
      </c>
      <c r="H572" s="3" t="n">
        <f aca="false">MONTH(B572)</f>
        <v>12</v>
      </c>
      <c r="I572" s="3" t="s">
        <v>1938</v>
      </c>
      <c r="J572" s="3" t="s">
        <v>1883</v>
      </c>
      <c r="K572" s="3" t="s">
        <v>1884</v>
      </c>
      <c r="L572" s="3" t="s">
        <v>1939</v>
      </c>
      <c r="M572" s="3" t="s">
        <v>1940</v>
      </c>
      <c r="N572" s="11" t="s">
        <v>1941</v>
      </c>
    </row>
    <row r="573" customFormat="false" ht="15" hidden="false" customHeight="false" outlineLevel="0" collapsed="false">
      <c r="A573" s="3" t="n">
        <v>569</v>
      </c>
      <c r="B573" s="8" t="n">
        <v>46022</v>
      </c>
      <c r="C573" s="3" t="s">
        <v>1117</v>
      </c>
      <c r="D573" s="3" t="s">
        <v>1118</v>
      </c>
      <c r="E573" s="9" t="n">
        <v>4500</v>
      </c>
      <c r="F573" s="9"/>
      <c r="G573" s="9" t="n">
        <f aca="false">N(F573)-N(E573)</f>
        <v>-4500</v>
      </c>
      <c r="H573" s="3" t="n">
        <f aca="false">MONTH(B573)</f>
        <v>12</v>
      </c>
      <c r="I573" s="3" t="s">
        <v>1911</v>
      </c>
      <c r="J573" s="3" t="s">
        <v>1883</v>
      </c>
      <c r="K573" s="3" t="s">
        <v>1884</v>
      </c>
      <c r="L573" s="3" t="s">
        <v>1939</v>
      </c>
      <c r="M573" s="3" t="s">
        <v>1940</v>
      </c>
      <c r="N573" s="11" t="s">
        <v>1975</v>
      </c>
    </row>
    <row r="574" customFormat="false" ht="15" hidden="false" customHeight="false" outlineLevel="0" collapsed="false">
      <c r="A574" s="3" t="n">
        <v>570</v>
      </c>
      <c r="B574" s="8" t="n">
        <v>46022</v>
      </c>
      <c r="C574" s="3" t="s">
        <v>1119</v>
      </c>
      <c r="D574" s="3" t="s">
        <v>136</v>
      </c>
      <c r="E574" s="9" t="n">
        <v>4123.23</v>
      </c>
      <c r="F574" s="9"/>
      <c r="G574" s="9" t="n">
        <f aca="false">N(F574)-N(E574)</f>
        <v>-4123.23</v>
      </c>
      <c r="H574" s="3" t="n">
        <f aca="false">MONTH(B574)</f>
        <v>12</v>
      </c>
      <c r="I574" s="3" t="s">
        <v>1911</v>
      </c>
      <c r="J574" s="3" t="s">
        <v>1883</v>
      </c>
      <c r="K574" s="3" t="s">
        <v>1884</v>
      </c>
      <c r="L574" s="3" t="s">
        <v>1939</v>
      </c>
      <c r="M574" s="3" t="s">
        <v>1940</v>
      </c>
      <c r="N574" s="11" t="s">
        <v>1975</v>
      </c>
    </row>
    <row r="575" customFormat="false" ht="15" hidden="false" customHeight="false" outlineLevel="0" collapsed="false">
      <c r="A575" s="3" t="n">
        <v>571</v>
      </c>
      <c r="B575" s="8" t="n">
        <v>46022</v>
      </c>
      <c r="C575" s="3" t="s">
        <v>1120</v>
      </c>
      <c r="D575" s="3" t="s">
        <v>224</v>
      </c>
      <c r="E575" s="9" t="n">
        <v>300</v>
      </c>
      <c r="F575" s="9"/>
      <c r="G575" s="9" t="n">
        <f aca="false">N(F575)-N(E575)</f>
        <v>-300</v>
      </c>
      <c r="H575" s="3" t="n">
        <f aca="false">MONTH(B575)</f>
        <v>12</v>
      </c>
      <c r="I575" s="3" t="s">
        <v>1911</v>
      </c>
      <c r="J575" s="3" t="s">
        <v>1883</v>
      </c>
      <c r="K575" s="3" t="s">
        <v>1884</v>
      </c>
      <c r="L575" s="3" t="s">
        <v>1939</v>
      </c>
      <c r="M575" s="3" t="s">
        <v>1940</v>
      </c>
      <c r="N575" s="11" t="s">
        <v>1975</v>
      </c>
    </row>
    <row r="576" customFormat="false" ht="15" hidden="false" customHeight="false" outlineLevel="0" collapsed="false">
      <c r="A576" s="3" t="n">
        <v>572</v>
      </c>
      <c r="B576" s="8" t="n">
        <v>46022</v>
      </c>
      <c r="C576" s="3" t="s">
        <v>1121</v>
      </c>
      <c r="D576" s="3" t="s">
        <v>140</v>
      </c>
      <c r="E576" s="9" t="n">
        <v>669.24</v>
      </c>
      <c r="F576" s="9"/>
      <c r="G576" s="9" t="n">
        <f aca="false">N(F576)-N(E576)</f>
        <v>-669.24</v>
      </c>
      <c r="H576" s="3" t="n">
        <f aca="false">MONTH(B576)</f>
        <v>12</v>
      </c>
      <c r="I576" s="3" t="s">
        <v>1911</v>
      </c>
      <c r="J576" s="3" t="s">
        <v>1883</v>
      </c>
      <c r="K576" s="3" t="s">
        <v>1884</v>
      </c>
      <c r="L576" s="3" t="s">
        <v>1939</v>
      </c>
      <c r="M576" s="3" t="s">
        <v>1940</v>
      </c>
      <c r="N576" s="11" t="s">
        <v>1975</v>
      </c>
    </row>
    <row r="577" customFormat="false" ht="15" hidden="false" customHeight="false" outlineLevel="0" collapsed="false">
      <c r="A577" s="3" t="n">
        <v>573</v>
      </c>
      <c r="B577" s="8" t="n">
        <v>46022</v>
      </c>
      <c r="C577" s="3" t="s">
        <v>1122</v>
      </c>
      <c r="D577" s="3" t="s">
        <v>227</v>
      </c>
      <c r="E577" s="9" t="n">
        <v>900</v>
      </c>
      <c r="F577" s="9"/>
      <c r="G577" s="9" t="n">
        <f aca="false">N(F577)-N(E577)</f>
        <v>-900</v>
      </c>
      <c r="H577" s="3" t="n">
        <f aca="false">MONTH(B577)</f>
        <v>12</v>
      </c>
      <c r="I577" s="3" t="s">
        <v>1914</v>
      </c>
      <c r="J577" s="3" t="s">
        <v>1883</v>
      </c>
      <c r="K577" s="3" t="s">
        <v>1884</v>
      </c>
      <c r="L577" s="3" t="s">
        <v>1939</v>
      </c>
      <c r="M577" s="3" t="s">
        <v>1940</v>
      </c>
      <c r="N577" s="11" t="s">
        <v>1975</v>
      </c>
    </row>
    <row r="579" customFormat="false" ht="15" hidden="false" customHeight="false" outlineLevel="0" collapsed="false">
      <c r="D579" s="10" t="s">
        <v>1981</v>
      </c>
    </row>
  </sheetData>
  <autoFilter ref="A4:N57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3"/>
    <col collapsed="false" customWidth="true" hidden="false" outlineLevel="0" max="3" min="3" style="0" width="58"/>
    <col collapsed="false" customWidth="true" hidden="false" outlineLevel="0" max="4" min="4" style="0" width="38"/>
    <col collapsed="false" customWidth="true" hidden="false" outlineLevel="0" max="6" min="5" style="0" width="16"/>
    <col collapsed="false" customWidth="true" hidden="false" outlineLevel="0" max="7" min="7" style="0" width="12"/>
    <col collapsed="false" customWidth="true" hidden="false" outlineLevel="0" max="8" min="8" style="0" width="18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80"/>
  </cols>
  <sheetData>
    <row r="1" customFormat="false" ht="17.35" hidden="false" customHeight="false" outlineLevel="0" collapsed="false">
      <c r="A1" s="1" t="s">
        <v>1982</v>
      </c>
    </row>
    <row r="2" customFormat="false" ht="15" hidden="false" customHeight="false" outlineLevel="0" collapsed="false">
      <c r="A2" s="10" t="s">
        <v>1983</v>
      </c>
    </row>
    <row r="4" customFormat="false" ht="30" hidden="false" customHeight="true" outlineLevel="0" collapsed="false">
      <c r="A4" s="7" t="s">
        <v>1984</v>
      </c>
      <c r="B4" s="7" t="s">
        <v>1128</v>
      </c>
      <c r="C4" s="7" t="s">
        <v>1129</v>
      </c>
      <c r="D4" s="7" t="s">
        <v>1985</v>
      </c>
      <c r="E4" s="7" t="s">
        <v>1986</v>
      </c>
      <c r="F4" s="7" t="s">
        <v>1987</v>
      </c>
      <c r="G4" s="7" t="s">
        <v>1988</v>
      </c>
      <c r="H4" s="7" t="s">
        <v>1989</v>
      </c>
      <c r="I4" s="7" t="s">
        <v>1990</v>
      </c>
      <c r="J4" s="7" t="s">
        <v>1880</v>
      </c>
      <c r="K4" s="7" t="s">
        <v>1991</v>
      </c>
    </row>
    <row r="5" customFormat="false" ht="15" hidden="false" customHeight="false" outlineLevel="0" collapsed="false">
      <c r="A5" s="3" t="s">
        <v>1992</v>
      </c>
      <c r="B5" s="8" t="n">
        <v>45693</v>
      </c>
      <c r="C5" s="3" t="s">
        <v>150</v>
      </c>
      <c r="D5" s="3" t="s">
        <v>1993</v>
      </c>
      <c r="E5" s="9" t="n">
        <v>85000</v>
      </c>
      <c r="F5" s="9" t="n">
        <v>85000</v>
      </c>
      <c r="G5" s="3" t="s">
        <v>1994</v>
      </c>
      <c r="H5" s="9" t="n">
        <v>0</v>
      </c>
      <c r="I5" s="3" t="n">
        <v>51</v>
      </c>
      <c r="J5" s="3" t="s">
        <v>1202</v>
      </c>
      <c r="K5" s="3" t="s">
        <v>1995</v>
      </c>
    </row>
    <row r="6" customFormat="false" ht="15" hidden="false" customHeight="false" outlineLevel="0" collapsed="false">
      <c r="A6" s="3" t="s">
        <v>1996</v>
      </c>
      <c r="B6" s="8" t="n">
        <v>45719</v>
      </c>
      <c r="C6" s="3" t="s">
        <v>231</v>
      </c>
      <c r="D6" s="3" t="s">
        <v>1993</v>
      </c>
      <c r="E6" s="9" t="n">
        <v>211000</v>
      </c>
      <c r="F6" s="9" t="n">
        <v>211000</v>
      </c>
      <c r="G6" s="3" t="s">
        <v>1994</v>
      </c>
      <c r="H6" s="9" t="n">
        <v>0</v>
      </c>
      <c r="I6" s="3" t="n">
        <v>93</v>
      </c>
      <c r="J6" s="3" t="s">
        <v>1261</v>
      </c>
      <c r="K6" s="3" t="s">
        <v>1997</v>
      </c>
    </row>
    <row r="7" customFormat="false" ht="15" hidden="false" customHeight="false" outlineLevel="0" collapsed="false">
      <c r="A7" s="3" t="s">
        <v>1998</v>
      </c>
      <c r="B7" s="8" t="n">
        <v>45721</v>
      </c>
      <c r="C7" s="3" t="s">
        <v>235</v>
      </c>
      <c r="D7" s="3" t="s">
        <v>1993</v>
      </c>
      <c r="E7" s="9" t="n">
        <v>85000</v>
      </c>
      <c r="F7" s="9" t="n">
        <v>85000</v>
      </c>
      <c r="G7" s="3" t="s">
        <v>1994</v>
      </c>
      <c r="H7" s="9" t="n">
        <v>0</v>
      </c>
      <c r="I7" s="3" t="n">
        <v>95</v>
      </c>
      <c r="J7" s="3" t="s">
        <v>1262</v>
      </c>
      <c r="K7" s="3" t="s">
        <v>1999</v>
      </c>
    </row>
    <row r="8" customFormat="false" ht="15" hidden="false" customHeight="false" outlineLevel="0" collapsed="false">
      <c r="A8" s="3" t="s">
        <v>2000</v>
      </c>
      <c r="B8" s="8" t="n">
        <v>45735</v>
      </c>
      <c r="C8" s="3" t="s">
        <v>286</v>
      </c>
      <c r="D8" s="3" t="s">
        <v>2001</v>
      </c>
      <c r="E8" s="9" t="n">
        <v>1245000</v>
      </c>
      <c r="F8" s="9" t="n">
        <v>1254000</v>
      </c>
      <c r="G8" s="3" t="s">
        <v>2002</v>
      </c>
      <c r="H8" s="9" t="n">
        <v>-9000</v>
      </c>
      <c r="I8" s="3" t="n">
        <v>121</v>
      </c>
      <c r="J8" s="3" t="s">
        <v>1306</v>
      </c>
      <c r="K8" s="3" t="s">
        <v>1936</v>
      </c>
    </row>
    <row r="9" customFormat="false" ht="15" hidden="false" customHeight="false" outlineLevel="0" collapsed="false">
      <c r="A9" s="3" t="s">
        <v>2003</v>
      </c>
      <c r="B9" s="8" t="n">
        <v>45747</v>
      </c>
      <c r="C9" s="3" t="s">
        <v>315</v>
      </c>
      <c r="D9" s="3" t="s">
        <v>2004</v>
      </c>
      <c r="E9" s="9" t="n">
        <v>50923.89</v>
      </c>
      <c r="F9" s="9"/>
      <c r="G9" s="3" t="s">
        <v>2002</v>
      </c>
      <c r="H9" s="9" t="n">
        <v>50923.89</v>
      </c>
      <c r="I9" s="3" t="n">
        <v>136</v>
      </c>
      <c r="J9" s="3" t="s">
        <v>1940</v>
      </c>
      <c r="K9" s="3" t="s">
        <v>1941</v>
      </c>
    </row>
    <row r="10" customFormat="false" ht="15" hidden="false" customHeight="false" outlineLevel="0" collapsed="false">
      <c r="A10" s="3" t="s">
        <v>2005</v>
      </c>
      <c r="B10" s="8" t="n">
        <v>45749</v>
      </c>
      <c r="C10" s="3" t="s">
        <v>325</v>
      </c>
      <c r="D10" s="3" t="s">
        <v>1993</v>
      </c>
      <c r="E10" s="9" t="n">
        <v>3427900</v>
      </c>
      <c r="F10" s="9" t="n">
        <v>3427900</v>
      </c>
      <c r="G10" s="3" t="s">
        <v>1994</v>
      </c>
      <c r="H10" s="9" t="n">
        <v>0</v>
      </c>
      <c r="I10" s="3" t="n">
        <v>142</v>
      </c>
      <c r="J10" s="3" t="s">
        <v>1325</v>
      </c>
      <c r="K10" s="3" t="s">
        <v>2006</v>
      </c>
    </row>
    <row r="11" customFormat="false" ht="15" hidden="false" customHeight="false" outlineLevel="0" collapsed="false">
      <c r="A11" s="3" t="s">
        <v>2007</v>
      </c>
      <c r="B11" s="8" t="n">
        <v>45750</v>
      </c>
      <c r="C11" s="3" t="s">
        <v>333</v>
      </c>
      <c r="D11" s="3" t="s">
        <v>1993</v>
      </c>
      <c r="E11" s="9" t="n">
        <v>310800</v>
      </c>
      <c r="F11" s="9" t="n">
        <v>310800</v>
      </c>
      <c r="G11" s="3" t="s">
        <v>1994</v>
      </c>
      <c r="H11" s="9" t="n">
        <v>0</v>
      </c>
      <c r="I11" s="3" t="n">
        <v>146</v>
      </c>
      <c r="J11" s="3" t="s">
        <v>1327</v>
      </c>
      <c r="K11" s="3" t="s">
        <v>2008</v>
      </c>
    </row>
    <row r="12" customFormat="false" ht="15" hidden="false" customHeight="false" outlineLevel="0" collapsed="false">
      <c r="A12" s="3" t="s">
        <v>2009</v>
      </c>
      <c r="B12" s="8" t="n">
        <v>45779</v>
      </c>
      <c r="C12" s="3" t="s">
        <v>414</v>
      </c>
      <c r="D12" s="3" t="s">
        <v>1993</v>
      </c>
      <c r="E12" s="9" t="n">
        <v>3454200</v>
      </c>
      <c r="F12" s="9" t="n">
        <v>3454200</v>
      </c>
      <c r="G12" s="3" t="s">
        <v>1994</v>
      </c>
      <c r="H12" s="9" t="n">
        <v>0</v>
      </c>
      <c r="I12" s="3" t="n">
        <v>189</v>
      </c>
      <c r="J12" s="3" t="s">
        <v>1385</v>
      </c>
      <c r="K12" s="3" t="s">
        <v>2010</v>
      </c>
    </row>
    <row r="13" customFormat="false" ht="15" hidden="false" customHeight="false" outlineLevel="0" collapsed="false">
      <c r="A13" s="3" t="s">
        <v>2011</v>
      </c>
      <c r="B13" s="8" t="n">
        <v>45810</v>
      </c>
      <c r="C13" s="3" t="s">
        <v>496</v>
      </c>
      <c r="D13" s="3" t="s">
        <v>1993</v>
      </c>
      <c r="E13" s="9" t="n">
        <v>2851100</v>
      </c>
      <c r="F13" s="9" t="n">
        <v>2851100</v>
      </c>
      <c r="G13" s="3" t="s">
        <v>1994</v>
      </c>
      <c r="H13" s="9" t="n">
        <v>0</v>
      </c>
      <c r="I13" s="3" t="n">
        <v>234</v>
      </c>
      <c r="J13" s="3" t="s">
        <v>1437</v>
      </c>
      <c r="K13" s="3" t="s">
        <v>2012</v>
      </c>
    </row>
    <row r="14" customFormat="false" ht="15" hidden="false" customHeight="false" outlineLevel="0" collapsed="false">
      <c r="A14" s="3" t="s">
        <v>2013</v>
      </c>
      <c r="B14" s="8" t="n">
        <v>45811</v>
      </c>
      <c r="C14" s="3" t="s">
        <v>500</v>
      </c>
      <c r="D14" s="3" t="s">
        <v>1993</v>
      </c>
      <c r="E14" s="9" t="n">
        <v>950800</v>
      </c>
      <c r="F14" s="9" t="n">
        <v>950800</v>
      </c>
      <c r="G14" s="3" t="s">
        <v>1994</v>
      </c>
      <c r="H14" s="9" t="n">
        <v>0</v>
      </c>
      <c r="I14" s="3" t="n">
        <v>236</v>
      </c>
      <c r="J14" s="3" t="s">
        <v>1439</v>
      </c>
      <c r="K14" s="3" t="s">
        <v>2014</v>
      </c>
    </row>
    <row r="15" customFormat="false" ht="15" hidden="false" customHeight="false" outlineLevel="0" collapsed="false">
      <c r="A15" s="3" t="s">
        <v>2015</v>
      </c>
      <c r="B15" s="8" t="n">
        <v>45838</v>
      </c>
      <c r="C15" s="3" t="s">
        <v>315</v>
      </c>
      <c r="D15" s="3" t="s">
        <v>2004</v>
      </c>
      <c r="E15" s="9" t="n">
        <v>37770.74</v>
      </c>
      <c r="F15" s="9"/>
      <c r="G15" s="3" t="s">
        <v>2002</v>
      </c>
      <c r="H15" s="9" t="n">
        <v>37770.74</v>
      </c>
      <c r="I15" s="3" t="n">
        <v>278</v>
      </c>
      <c r="J15" s="3" t="s">
        <v>1940</v>
      </c>
      <c r="K15" s="3" t="s">
        <v>1941</v>
      </c>
    </row>
    <row r="16" customFormat="false" ht="15" hidden="false" customHeight="false" outlineLevel="0" collapsed="false">
      <c r="A16" s="3" t="s">
        <v>2016</v>
      </c>
      <c r="B16" s="8" t="n">
        <v>45852</v>
      </c>
      <c r="C16" s="3" t="s">
        <v>623</v>
      </c>
      <c r="D16" s="3" t="s">
        <v>2017</v>
      </c>
      <c r="E16" s="9" t="n">
        <v>1850000</v>
      </c>
      <c r="F16" s="9"/>
      <c r="G16" s="3" t="s">
        <v>2002</v>
      </c>
      <c r="H16" s="9" t="n">
        <v>-1850000</v>
      </c>
      <c r="I16" s="3" t="n">
        <v>304</v>
      </c>
      <c r="J16" s="3" t="s">
        <v>1940</v>
      </c>
      <c r="K16" s="3" t="s">
        <v>1958</v>
      </c>
    </row>
    <row r="17" customFormat="false" ht="15" hidden="false" customHeight="false" outlineLevel="0" collapsed="false">
      <c r="A17" s="3" t="s">
        <v>2018</v>
      </c>
      <c r="B17" s="8" t="n">
        <v>45853</v>
      </c>
      <c r="C17" s="3" t="s">
        <v>628</v>
      </c>
      <c r="D17" s="3" t="s">
        <v>2004</v>
      </c>
      <c r="E17" s="9" t="n">
        <v>1850000</v>
      </c>
      <c r="F17" s="9"/>
      <c r="G17" s="3" t="s">
        <v>2002</v>
      </c>
      <c r="H17" s="9" t="n">
        <v>1850000</v>
      </c>
      <c r="I17" s="3" t="n">
        <v>306</v>
      </c>
      <c r="J17" s="3" t="s">
        <v>1940</v>
      </c>
      <c r="K17" s="3" t="s">
        <v>1959</v>
      </c>
    </row>
    <row r="18" customFormat="false" ht="15" hidden="false" customHeight="false" outlineLevel="0" collapsed="false">
      <c r="A18" s="3" t="s">
        <v>2019</v>
      </c>
      <c r="B18" s="8" t="n">
        <v>45873</v>
      </c>
      <c r="C18" s="3" t="s">
        <v>678</v>
      </c>
      <c r="D18" s="3" t="s">
        <v>1993</v>
      </c>
      <c r="E18" s="9" t="n">
        <v>3188800</v>
      </c>
      <c r="F18" s="9" t="n">
        <v>3188800</v>
      </c>
      <c r="G18" s="3" t="s">
        <v>1994</v>
      </c>
      <c r="H18" s="9" t="n">
        <v>0</v>
      </c>
      <c r="I18" s="3" t="n">
        <v>333</v>
      </c>
      <c r="J18" s="3" t="s">
        <v>1562</v>
      </c>
      <c r="K18" s="3" t="s">
        <v>2020</v>
      </c>
    </row>
    <row r="19" customFormat="false" ht="15" hidden="false" customHeight="false" outlineLevel="0" collapsed="false">
      <c r="A19" s="3" t="s">
        <v>2021</v>
      </c>
      <c r="B19" s="8" t="n">
        <v>45873</v>
      </c>
      <c r="C19" s="3" t="s">
        <v>680</v>
      </c>
      <c r="D19" s="3" t="s">
        <v>1993</v>
      </c>
      <c r="E19" s="9" t="n">
        <v>2687600</v>
      </c>
      <c r="F19" s="9" t="n">
        <v>2687600</v>
      </c>
      <c r="G19" s="3" t="s">
        <v>1994</v>
      </c>
      <c r="H19" s="9" t="n">
        <v>0</v>
      </c>
      <c r="I19" s="3" t="n">
        <v>334</v>
      </c>
      <c r="J19" s="3" t="s">
        <v>1560</v>
      </c>
      <c r="K19" s="3" t="s">
        <v>2022</v>
      </c>
    </row>
    <row r="20" customFormat="false" ht="15" hidden="false" customHeight="false" outlineLevel="0" collapsed="false">
      <c r="A20" s="3" t="s">
        <v>2023</v>
      </c>
      <c r="B20" s="8" t="n">
        <v>45874</v>
      </c>
      <c r="C20" s="3" t="s">
        <v>2024</v>
      </c>
      <c r="D20" s="3" t="s">
        <v>2025</v>
      </c>
      <c r="E20" s="9" t="n">
        <v>1380000</v>
      </c>
      <c r="F20" s="9" t="n">
        <v>2760000</v>
      </c>
      <c r="G20" s="3" t="s">
        <v>2002</v>
      </c>
      <c r="H20" s="9" t="n">
        <v>1380000</v>
      </c>
      <c r="I20" s="3" t="s">
        <v>1940</v>
      </c>
      <c r="J20" s="3" t="s">
        <v>1570</v>
      </c>
      <c r="K20" s="3" t="s">
        <v>2026</v>
      </c>
    </row>
    <row r="21" customFormat="false" ht="15" hidden="false" customHeight="false" outlineLevel="0" collapsed="false">
      <c r="A21" s="3" t="s">
        <v>2027</v>
      </c>
      <c r="B21" s="8" t="n">
        <v>45891</v>
      </c>
      <c r="C21" s="3" t="s">
        <v>754</v>
      </c>
      <c r="D21" s="3" t="s">
        <v>2017</v>
      </c>
      <c r="E21" s="9" t="n">
        <v>2100000</v>
      </c>
      <c r="F21" s="9"/>
      <c r="G21" s="3" t="s">
        <v>2002</v>
      </c>
      <c r="H21" s="9" t="n">
        <v>-2100000</v>
      </c>
      <c r="I21" s="3" t="n">
        <v>372</v>
      </c>
      <c r="J21" s="3" t="s">
        <v>1940</v>
      </c>
      <c r="K21" s="3" t="s">
        <v>1967</v>
      </c>
    </row>
    <row r="22" customFormat="false" ht="15" hidden="false" customHeight="false" outlineLevel="0" collapsed="false">
      <c r="A22" s="3" t="s">
        <v>2028</v>
      </c>
      <c r="B22" s="8" t="n">
        <v>45891</v>
      </c>
      <c r="C22" s="3" t="s">
        <v>756</v>
      </c>
      <c r="D22" s="3" t="s">
        <v>2017</v>
      </c>
      <c r="E22" s="9" t="n">
        <v>5375</v>
      </c>
      <c r="F22" s="9"/>
      <c r="G22" s="3" t="s">
        <v>2002</v>
      </c>
      <c r="H22" s="9" t="n">
        <v>-5375</v>
      </c>
      <c r="I22" s="3" t="n">
        <v>373</v>
      </c>
      <c r="J22" s="3" t="s">
        <v>1940</v>
      </c>
      <c r="K22" s="3" t="s">
        <v>2029</v>
      </c>
    </row>
    <row r="23" customFormat="false" ht="15" hidden="false" customHeight="false" outlineLevel="0" collapsed="false">
      <c r="A23" s="3" t="s">
        <v>2030</v>
      </c>
      <c r="B23" s="8" t="n">
        <v>45930</v>
      </c>
      <c r="C23" s="3" t="s">
        <v>315</v>
      </c>
      <c r="D23" s="3" t="s">
        <v>2004</v>
      </c>
      <c r="E23" s="9" t="n">
        <v>44903.69</v>
      </c>
      <c r="F23" s="9"/>
      <c r="G23" s="3" t="s">
        <v>2002</v>
      </c>
      <c r="H23" s="9" t="n">
        <v>44903.69</v>
      </c>
      <c r="I23" s="3" t="n">
        <v>423</v>
      </c>
      <c r="J23" s="3" t="s">
        <v>1940</v>
      </c>
      <c r="K23" s="3" t="s">
        <v>1941</v>
      </c>
    </row>
    <row r="24" customFormat="false" ht="15" hidden="false" customHeight="false" outlineLevel="0" collapsed="false">
      <c r="A24" s="3" t="s">
        <v>2031</v>
      </c>
      <c r="B24" s="8" t="n">
        <v>45932</v>
      </c>
      <c r="C24" s="3" t="s">
        <v>861</v>
      </c>
      <c r="D24" s="3" t="s">
        <v>1993</v>
      </c>
      <c r="E24" s="9" t="n">
        <v>2484200</v>
      </c>
      <c r="F24" s="9" t="n">
        <v>2484200</v>
      </c>
      <c r="G24" s="3" t="s">
        <v>1994</v>
      </c>
      <c r="H24" s="9" t="n">
        <v>0</v>
      </c>
      <c r="I24" s="3" t="n">
        <v>430</v>
      </c>
      <c r="J24" s="3" t="s">
        <v>1687</v>
      </c>
      <c r="K24" s="3" t="s">
        <v>2032</v>
      </c>
    </row>
    <row r="25" customFormat="false" ht="15" hidden="false" customHeight="false" outlineLevel="0" collapsed="false">
      <c r="A25" s="3" t="s">
        <v>2033</v>
      </c>
      <c r="B25" s="8" t="n">
        <v>45938</v>
      </c>
      <c r="C25" s="3" t="s">
        <v>879</v>
      </c>
      <c r="D25" s="3" t="s">
        <v>2001</v>
      </c>
      <c r="E25" s="9" t="n">
        <v>2716500</v>
      </c>
      <c r="F25" s="9" t="n">
        <v>2761500</v>
      </c>
      <c r="G25" s="3" t="s">
        <v>2002</v>
      </c>
      <c r="H25" s="9" t="n">
        <v>45000</v>
      </c>
      <c r="I25" s="3" t="n">
        <v>439</v>
      </c>
      <c r="J25" s="3" t="s">
        <v>1702</v>
      </c>
      <c r="K25" s="3" t="s">
        <v>1972</v>
      </c>
    </row>
    <row r="26" customFormat="false" ht="15" hidden="false" customHeight="false" outlineLevel="0" collapsed="false">
      <c r="A26" s="3" t="s">
        <v>2034</v>
      </c>
      <c r="B26" s="8" t="n">
        <v>45940</v>
      </c>
      <c r="C26" s="3" t="s">
        <v>889</v>
      </c>
      <c r="D26" s="3" t="s">
        <v>2017</v>
      </c>
      <c r="E26" s="9" t="n">
        <v>1057421.95</v>
      </c>
      <c r="F26" s="9"/>
      <c r="G26" s="3" t="s">
        <v>2002</v>
      </c>
      <c r="H26" s="9" t="n">
        <v>-1057421.95</v>
      </c>
      <c r="I26" s="3" t="n">
        <v>444</v>
      </c>
      <c r="J26" s="3" t="s">
        <v>1940</v>
      </c>
      <c r="K26" s="3" t="s">
        <v>1945</v>
      </c>
    </row>
    <row r="27" customFormat="false" ht="15" hidden="false" customHeight="false" outlineLevel="0" collapsed="false">
      <c r="A27" s="3" t="s">
        <v>2035</v>
      </c>
      <c r="B27" s="8" t="n">
        <v>45961</v>
      </c>
      <c r="C27" s="3" t="s">
        <v>946</v>
      </c>
      <c r="D27" s="3" t="s">
        <v>2017</v>
      </c>
      <c r="E27" s="9" t="n">
        <v>4500</v>
      </c>
      <c r="F27" s="9"/>
      <c r="G27" s="3" t="s">
        <v>2002</v>
      </c>
      <c r="H27" s="9" t="n">
        <v>-4500</v>
      </c>
      <c r="I27" s="3" t="n">
        <v>475</v>
      </c>
      <c r="J27" s="3" t="s">
        <v>1940</v>
      </c>
      <c r="K27" s="3" t="s">
        <v>1975</v>
      </c>
    </row>
    <row r="28" customFormat="false" ht="15" hidden="false" customHeight="false" outlineLevel="0" collapsed="false">
      <c r="A28" s="3" t="s">
        <v>2036</v>
      </c>
      <c r="B28" s="8" t="n">
        <v>45961</v>
      </c>
      <c r="C28" s="3" t="s">
        <v>136</v>
      </c>
      <c r="D28" s="3" t="s">
        <v>2017</v>
      </c>
      <c r="E28" s="9" t="n">
        <v>4393.63</v>
      </c>
      <c r="F28" s="9"/>
      <c r="G28" s="3" t="s">
        <v>2002</v>
      </c>
      <c r="H28" s="9" t="n">
        <v>-4393.63</v>
      </c>
      <c r="I28" s="3" t="n">
        <v>476</v>
      </c>
      <c r="J28" s="3" t="s">
        <v>1940</v>
      </c>
      <c r="K28" s="3" t="s">
        <v>1975</v>
      </c>
    </row>
    <row r="29" customFormat="false" ht="15" hidden="false" customHeight="false" outlineLevel="0" collapsed="false">
      <c r="A29" s="3" t="s">
        <v>2037</v>
      </c>
      <c r="B29" s="8" t="n">
        <v>45961</v>
      </c>
      <c r="C29" s="3" t="s">
        <v>674</v>
      </c>
      <c r="D29" s="3" t="s">
        <v>2017</v>
      </c>
      <c r="E29" s="9" t="n">
        <v>500</v>
      </c>
      <c r="F29" s="9"/>
      <c r="G29" s="3" t="s">
        <v>2002</v>
      </c>
      <c r="H29" s="9" t="n">
        <v>-500</v>
      </c>
      <c r="I29" s="3" t="n">
        <v>477</v>
      </c>
      <c r="J29" s="3" t="s">
        <v>1940</v>
      </c>
      <c r="K29" s="3" t="s">
        <v>1975</v>
      </c>
    </row>
    <row r="30" customFormat="false" ht="15" hidden="false" customHeight="false" outlineLevel="0" collapsed="false">
      <c r="A30" s="3" t="s">
        <v>2038</v>
      </c>
      <c r="B30" s="8" t="n">
        <v>45961</v>
      </c>
      <c r="C30" s="3" t="s">
        <v>140</v>
      </c>
      <c r="D30" s="3" t="s">
        <v>2017</v>
      </c>
      <c r="E30" s="9" t="n">
        <v>704.52</v>
      </c>
      <c r="F30" s="9"/>
      <c r="G30" s="3" t="s">
        <v>2002</v>
      </c>
      <c r="H30" s="9" t="n">
        <v>-704.52</v>
      </c>
      <c r="I30" s="3" t="n">
        <v>478</v>
      </c>
      <c r="J30" s="3" t="s">
        <v>1940</v>
      </c>
      <c r="K30" s="3" t="s">
        <v>1975</v>
      </c>
    </row>
    <row r="31" customFormat="false" ht="15" hidden="false" customHeight="false" outlineLevel="0" collapsed="false">
      <c r="A31" s="3" t="s">
        <v>2039</v>
      </c>
      <c r="B31" s="8" t="n">
        <v>45961</v>
      </c>
      <c r="C31" s="3" t="s">
        <v>142</v>
      </c>
      <c r="D31" s="3" t="s">
        <v>2017</v>
      </c>
      <c r="E31" s="9" t="n">
        <v>850</v>
      </c>
      <c r="F31" s="9"/>
      <c r="G31" s="3" t="s">
        <v>2002</v>
      </c>
      <c r="H31" s="9" t="n">
        <v>-850</v>
      </c>
      <c r="I31" s="3" t="n">
        <v>479</v>
      </c>
      <c r="J31" s="3" t="s">
        <v>1940</v>
      </c>
      <c r="K31" s="3" t="s">
        <v>1975</v>
      </c>
    </row>
    <row r="32" customFormat="false" ht="15" hidden="false" customHeight="false" outlineLevel="0" collapsed="false">
      <c r="A32" s="3" t="s">
        <v>2040</v>
      </c>
      <c r="B32" s="8" t="n">
        <v>45964</v>
      </c>
      <c r="C32" s="3" t="s">
        <v>955</v>
      </c>
      <c r="D32" s="3" t="s">
        <v>1993</v>
      </c>
      <c r="E32" s="9" t="n">
        <v>153012.19</v>
      </c>
      <c r="F32" s="9" t="n">
        <v>153012.19</v>
      </c>
      <c r="G32" s="3" t="s">
        <v>1994</v>
      </c>
      <c r="H32" s="9" t="n">
        <v>0</v>
      </c>
      <c r="I32" s="3" t="n">
        <v>482</v>
      </c>
      <c r="J32" s="3" t="s">
        <v>1749</v>
      </c>
      <c r="K32" s="3" t="s">
        <v>2041</v>
      </c>
    </row>
    <row r="33" customFormat="false" ht="15" hidden="false" customHeight="false" outlineLevel="0" collapsed="false">
      <c r="A33" s="3" t="s">
        <v>2042</v>
      </c>
      <c r="B33" s="8" t="n">
        <v>45966</v>
      </c>
      <c r="C33" s="3" t="s">
        <v>967</v>
      </c>
      <c r="D33" s="3" t="s">
        <v>2017</v>
      </c>
      <c r="E33" s="9" t="n">
        <v>46200</v>
      </c>
      <c r="F33" s="9"/>
      <c r="G33" s="3" t="s">
        <v>2002</v>
      </c>
      <c r="H33" s="9" t="n">
        <v>-46200</v>
      </c>
      <c r="I33" s="3" t="n">
        <v>488</v>
      </c>
      <c r="J33" s="3" t="s">
        <v>1940</v>
      </c>
      <c r="K33" s="3" t="s">
        <v>2029</v>
      </c>
    </row>
    <row r="34" customFormat="false" ht="15" hidden="false" customHeight="false" outlineLevel="0" collapsed="false">
      <c r="A34" s="3" t="s">
        <v>2043</v>
      </c>
      <c r="B34" s="8" t="n">
        <v>45966</v>
      </c>
      <c r="C34" s="3" t="s">
        <v>963</v>
      </c>
      <c r="D34" s="3" t="s">
        <v>1993</v>
      </c>
      <c r="E34" s="9" t="n">
        <v>276952.5</v>
      </c>
      <c r="F34" s="9" t="n">
        <v>276952.5</v>
      </c>
      <c r="G34" s="3" t="s">
        <v>1994</v>
      </c>
      <c r="H34" s="9" t="n">
        <v>0</v>
      </c>
      <c r="I34" s="3" t="n">
        <v>486</v>
      </c>
      <c r="J34" s="3" t="s">
        <v>1750</v>
      </c>
      <c r="K34" s="3" t="s">
        <v>2044</v>
      </c>
    </row>
    <row r="35" customFormat="false" ht="15" hidden="false" customHeight="false" outlineLevel="0" collapsed="false">
      <c r="A35" s="3" t="s">
        <v>2045</v>
      </c>
      <c r="B35" s="8" t="n">
        <v>45971</v>
      </c>
      <c r="C35" s="3" t="s">
        <v>986</v>
      </c>
      <c r="D35" s="3" t="s">
        <v>2017</v>
      </c>
      <c r="E35" s="9" t="n">
        <v>1057421.95</v>
      </c>
      <c r="F35" s="9"/>
      <c r="G35" s="3" t="s">
        <v>2002</v>
      </c>
      <c r="H35" s="9" t="n">
        <v>-1057421.95</v>
      </c>
      <c r="I35" s="3" t="n">
        <v>498</v>
      </c>
      <c r="J35" s="3" t="s">
        <v>1940</v>
      </c>
      <c r="K35" s="3" t="s">
        <v>1945</v>
      </c>
    </row>
    <row r="36" customFormat="false" ht="15" hidden="false" customHeight="false" outlineLevel="0" collapsed="false">
      <c r="A36" s="3" t="s">
        <v>2046</v>
      </c>
      <c r="B36" s="8" t="n">
        <v>45989</v>
      </c>
      <c r="C36" s="3" t="s">
        <v>1031</v>
      </c>
      <c r="D36" s="3" t="s">
        <v>2017</v>
      </c>
      <c r="E36" s="9" t="n">
        <v>4500</v>
      </c>
      <c r="F36" s="9"/>
      <c r="G36" s="3" t="s">
        <v>2002</v>
      </c>
      <c r="H36" s="9" t="n">
        <v>-4500</v>
      </c>
      <c r="I36" s="3" t="n">
        <v>521</v>
      </c>
      <c r="J36" s="3" t="s">
        <v>1940</v>
      </c>
      <c r="K36" s="3" t="s">
        <v>1975</v>
      </c>
    </row>
    <row r="37" customFormat="false" ht="15" hidden="false" customHeight="false" outlineLevel="0" collapsed="false">
      <c r="A37" s="3" t="s">
        <v>2047</v>
      </c>
      <c r="B37" s="8" t="n">
        <v>45989</v>
      </c>
      <c r="C37" s="3" t="s">
        <v>136</v>
      </c>
      <c r="D37" s="3" t="s">
        <v>2017</v>
      </c>
      <c r="E37" s="9" t="n">
        <v>4590.35</v>
      </c>
      <c r="F37" s="9"/>
      <c r="G37" s="3" t="s">
        <v>2002</v>
      </c>
      <c r="H37" s="9" t="n">
        <v>-4590.35</v>
      </c>
      <c r="I37" s="3" t="n">
        <v>522</v>
      </c>
      <c r="J37" s="3" t="s">
        <v>1940</v>
      </c>
      <c r="K37" s="3" t="s">
        <v>1975</v>
      </c>
    </row>
    <row r="38" customFormat="false" ht="15" hidden="false" customHeight="false" outlineLevel="0" collapsed="false">
      <c r="A38" s="3" t="s">
        <v>2048</v>
      </c>
      <c r="B38" s="8" t="n">
        <v>45989</v>
      </c>
      <c r="C38" s="3" t="s">
        <v>224</v>
      </c>
      <c r="D38" s="3" t="s">
        <v>2017</v>
      </c>
      <c r="E38" s="9" t="n">
        <v>300</v>
      </c>
      <c r="F38" s="9"/>
      <c r="G38" s="3" t="s">
        <v>2002</v>
      </c>
      <c r="H38" s="9" t="n">
        <v>-300</v>
      </c>
      <c r="I38" s="3" t="n">
        <v>523</v>
      </c>
      <c r="J38" s="3" t="s">
        <v>1940</v>
      </c>
      <c r="K38" s="3" t="s">
        <v>1975</v>
      </c>
    </row>
    <row r="39" customFormat="false" ht="15" hidden="false" customHeight="false" outlineLevel="0" collapsed="false">
      <c r="A39" s="3" t="s">
        <v>2049</v>
      </c>
      <c r="B39" s="8" t="n">
        <v>45989</v>
      </c>
      <c r="C39" s="3" t="s">
        <v>140</v>
      </c>
      <c r="D39" s="3" t="s">
        <v>2017</v>
      </c>
      <c r="E39" s="9" t="n">
        <v>704.28</v>
      </c>
      <c r="F39" s="9"/>
      <c r="G39" s="3" t="s">
        <v>2002</v>
      </c>
      <c r="H39" s="9" t="n">
        <v>-704.28</v>
      </c>
      <c r="I39" s="3" t="n">
        <v>524</v>
      </c>
      <c r="J39" s="3" t="s">
        <v>1940</v>
      </c>
      <c r="K39" s="3" t="s">
        <v>1975</v>
      </c>
    </row>
    <row r="40" customFormat="false" ht="15" hidden="false" customHeight="false" outlineLevel="0" collapsed="false">
      <c r="A40" s="3" t="s">
        <v>2050</v>
      </c>
      <c r="B40" s="8" t="n">
        <v>45989</v>
      </c>
      <c r="C40" s="3" t="s">
        <v>412</v>
      </c>
      <c r="D40" s="3" t="s">
        <v>2017</v>
      </c>
      <c r="E40" s="9" t="n">
        <v>750</v>
      </c>
      <c r="F40" s="9"/>
      <c r="G40" s="3" t="s">
        <v>2002</v>
      </c>
      <c r="H40" s="9" t="n">
        <v>-750</v>
      </c>
      <c r="I40" s="3" t="n">
        <v>525</v>
      </c>
      <c r="J40" s="3" t="s">
        <v>1940</v>
      </c>
      <c r="K40" s="3" t="s">
        <v>1975</v>
      </c>
    </row>
    <row r="41" customFormat="false" ht="15" hidden="false" customHeight="false" outlineLevel="0" collapsed="false">
      <c r="A41" s="3" t="s">
        <v>2051</v>
      </c>
      <c r="B41" s="8" t="n">
        <v>46001</v>
      </c>
      <c r="C41" s="3" t="s">
        <v>1065</v>
      </c>
      <c r="D41" s="3" t="s">
        <v>2017</v>
      </c>
      <c r="E41" s="9" t="n">
        <v>1057421.95</v>
      </c>
      <c r="F41" s="9"/>
      <c r="G41" s="3" t="s">
        <v>2002</v>
      </c>
      <c r="H41" s="9" t="n">
        <v>-1057421.95</v>
      </c>
      <c r="I41" s="3" t="n">
        <v>540</v>
      </c>
      <c r="J41" s="3" t="s">
        <v>1940</v>
      </c>
      <c r="K41" s="3" t="s">
        <v>1945</v>
      </c>
    </row>
    <row r="42" customFormat="false" ht="15" hidden="false" customHeight="false" outlineLevel="0" collapsed="false">
      <c r="A42" s="3" t="s">
        <v>2052</v>
      </c>
      <c r="B42" s="8" t="n">
        <v>46020</v>
      </c>
      <c r="C42" s="3" t="s">
        <v>1857</v>
      </c>
      <c r="D42" s="3" t="s">
        <v>2053</v>
      </c>
      <c r="E42" s="9"/>
      <c r="F42" s="9" t="n">
        <v>2450000</v>
      </c>
      <c r="G42" s="3" t="s">
        <v>2054</v>
      </c>
      <c r="H42" s="9" t="n">
        <v>-2450000</v>
      </c>
      <c r="I42" s="3" t="s">
        <v>1940</v>
      </c>
      <c r="J42" s="3" t="s">
        <v>1856</v>
      </c>
      <c r="K42" s="3" t="s">
        <v>2055</v>
      </c>
    </row>
    <row r="43" customFormat="false" ht="15" hidden="false" customHeight="false" outlineLevel="0" collapsed="false">
      <c r="A43" s="3" t="s">
        <v>2056</v>
      </c>
      <c r="B43" s="8" t="n">
        <v>46021</v>
      </c>
      <c r="C43" s="3" t="s">
        <v>1861</v>
      </c>
      <c r="D43" s="3" t="s">
        <v>2057</v>
      </c>
      <c r="E43" s="9"/>
      <c r="F43" s="9" t="n">
        <v>1860000</v>
      </c>
      <c r="G43" s="3" t="s">
        <v>2054</v>
      </c>
      <c r="H43" s="9" t="n">
        <v>1860000</v>
      </c>
      <c r="I43" s="3" t="s">
        <v>1940</v>
      </c>
      <c r="J43" s="3" t="s">
        <v>1860</v>
      </c>
      <c r="K43" s="3" t="s">
        <v>2058</v>
      </c>
    </row>
    <row r="44" customFormat="false" ht="15" hidden="false" customHeight="false" outlineLevel="0" collapsed="false">
      <c r="A44" s="3" t="s">
        <v>2059</v>
      </c>
      <c r="B44" s="8" t="n">
        <v>46021</v>
      </c>
      <c r="C44" s="3" t="s">
        <v>1859</v>
      </c>
      <c r="D44" s="3" t="s">
        <v>2053</v>
      </c>
      <c r="E44" s="9"/>
      <c r="F44" s="9" t="n">
        <v>780000</v>
      </c>
      <c r="G44" s="3" t="s">
        <v>2054</v>
      </c>
      <c r="H44" s="9" t="n">
        <v>-780000</v>
      </c>
      <c r="I44" s="3" t="s">
        <v>1940</v>
      </c>
      <c r="J44" s="3" t="s">
        <v>1858</v>
      </c>
      <c r="K44" s="3" t="s">
        <v>2055</v>
      </c>
    </row>
    <row r="45" customFormat="false" ht="15" hidden="false" customHeight="false" outlineLevel="0" collapsed="false">
      <c r="A45" s="3" t="s">
        <v>2060</v>
      </c>
      <c r="B45" s="8" t="n">
        <v>46022</v>
      </c>
      <c r="C45" s="3" t="s">
        <v>315</v>
      </c>
      <c r="D45" s="3" t="s">
        <v>2004</v>
      </c>
      <c r="E45" s="9" t="n">
        <v>40607.24</v>
      </c>
      <c r="F45" s="9"/>
      <c r="G45" s="3" t="s">
        <v>2002</v>
      </c>
      <c r="H45" s="9" t="n">
        <v>40607.24</v>
      </c>
      <c r="I45" s="3" t="n">
        <v>568</v>
      </c>
      <c r="J45" s="3" t="s">
        <v>1940</v>
      </c>
      <c r="K45" s="3" t="s">
        <v>1941</v>
      </c>
    </row>
    <row r="46" customFormat="false" ht="15" hidden="false" customHeight="false" outlineLevel="0" collapsed="false">
      <c r="A46" s="3" t="s">
        <v>2061</v>
      </c>
      <c r="B46" s="8" t="n">
        <v>46022</v>
      </c>
      <c r="C46" s="3" t="s">
        <v>1118</v>
      </c>
      <c r="D46" s="3" t="s">
        <v>2017</v>
      </c>
      <c r="E46" s="9" t="n">
        <v>4500</v>
      </c>
      <c r="F46" s="9"/>
      <c r="G46" s="3" t="s">
        <v>2002</v>
      </c>
      <c r="H46" s="9" t="n">
        <v>-4500</v>
      </c>
      <c r="I46" s="3" t="n">
        <v>569</v>
      </c>
      <c r="J46" s="3" t="s">
        <v>1940</v>
      </c>
      <c r="K46" s="3" t="s">
        <v>1975</v>
      </c>
    </row>
    <row r="47" customFormat="false" ht="15" hidden="false" customHeight="false" outlineLevel="0" collapsed="false">
      <c r="A47" s="3" t="s">
        <v>2062</v>
      </c>
      <c r="B47" s="8" t="n">
        <v>46022</v>
      </c>
      <c r="C47" s="3" t="s">
        <v>136</v>
      </c>
      <c r="D47" s="3" t="s">
        <v>2017</v>
      </c>
      <c r="E47" s="9" t="n">
        <v>4123.23</v>
      </c>
      <c r="F47" s="9"/>
      <c r="G47" s="3" t="s">
        <v>2002</v>
      </c>
      <c r="H47" s="9" t="n">
        <v>-4123.23</v>
      </c>
      <c r="I47" s="3" t="n">
        <v>570</v>
      </c>
      <c r="J47" s="3" t="s">
        <v>1940</v>
      </c>
      <c r="K47" s="3" t="s">
        <v>1975</v>
      </c>
    </row>
    <row r="48" customFormat="false" ht="15" hidden="false" customHeight="false" outlineLevel="0" collapsed="false">
      <c r="A48" s="3" t="s">
        <v>2063</v>
      </c>
      <c r="B48" s="8" t="n">
        <v>46022</v>
      </c>
      <c r="C48" s="3" t="s">
        <v>224</v>
      </c>
      <c r="D48" s="3" t="s">
        <v>2017</v>
      </c>
      <c r="E48" s="9" t="n">
        <v>300</v>
      </c>
      <c r="F48" s="9"/>
      <c r="G48" s="3" t="s">
        <v>2002</v>
      </c>
      <c r="H48" s="9" t="n">
        <v>-300</v>
      </c>
      <c r="I48" s="3" t="n">
        <v>571</v>
      </c>
      <c r="J48" s="3" t="s">
        <v>1940</v>
      </c>
      <c r="K48" s="3" t="s">
        <v>1975</v>
      </c>
    </row>
    <row r="49" customFormat="false" ht="15" hidden="false" customHeight="false" outlineLevel="0" collapsed="false">
      <c r="A49" s="3" t="s">
        <v>2064</v>
      </c>
      <c r="B49" s="8" t="n">
        <v>46022</v>
      </c>
      <c r="C49" s="3" t="s">
        <v>140</v>
      </c>
      <c r="D49" s="3" t="s">
        <v>2017</v>
      </c>
      <c r="E49" s="9" t="n">
        <v>669.24</v>
      </c>
      <c r="F49" s="9"/>
      <c r="G49" s="3" t="s">
        <v>2002</v>
      </c>
      <c r="H49" s="9" t="n">
        <v>-669.24</v>
      </c>
      <c r="I49" s="3" t="n">
        <v>572</v>
      </c>
      <c r="J49" s="3" t="s">
        <v>1940</v>
      </c>
      <c r="K49" s="3" t="s">
        <v>1975</v>
      </c>
    </row>
    <row r="50" customFormat="false" ht="15" hidden="false" customHeight="false" outlineLevel="0" collapsed="false">
      <c r="A50" s="3" t="s">
        <v>2065</v>
      </c>
      <c r="B50" s="8" t="n">
        <v>46022</v>
      </c>
      <c r="C50" s="3" t="s">
        <v>227</v>
      </c>
      <c r="D50" s="3" t="s">
        <v>2017</v>
      </c>
      <c r="E50" s="9" t="n">
        <v>900</v>
      </c>
      <c r="F50" s="9"/>
      <c r="G50" s="3" t="s">
        <v>2002</v>
      </c>
      <c r="H50" s="9" t="n">
        <v>-900</v>
      </c>
      <c r="I50" s="3" t="n">
        <v>573</v>
      </c>
      <c r="J50" s="3" t="s">
        <v>1940</v>
      </c>
      <c r="K50" s="3" t="s">
        <v>1975</v>
      </c>
    </row>
    <row r="51" customFormat="false" ht="15" hidden="false" customHeight="false" outlineLevel="0" collapsed="false">
      <c r="A51" s="3" t="s">
        <v>2066</v>
      </c>
      <c r="B51" s="8" t="n">
        <v>46022</v>
      </c>
      <c r="C51" s="3" t="s">
        <v>1867</v>
      </c>
      <c r="D51" s="3" t="s">
        <v>2057</v>
      </c>
      <c r="E51" s="9"/>
      <c r="F51" s="9" t="n">
        <v>3400000</v>
      </c>
      <c r="G51" s="3" t="s">
        <v>2054</v>
      </c>
      <c r="H51" s="9" t="n">
        <v>3400000</v>
      </c>
      <c r="I51" s="3" t="s">
        <v>1940</v>
      </c>
      <c r="J51" s="3" t="s">
        <v>1866</v>
      </c>
      <c r="K51" s="3" t="s">
        <v>2058</v>
      </c>
    </row>
    <row r="52" customFormat="false" ht="15" hidden="false" customHeight="false" outlineLevel="0" collapsed="false">
      <c r="A52" s="3" t="s">
        <v>2067</v>
      </c>
      <c r="B52" s="8" t="n">
        <v>46022</v>
      </c>
      <c r="C52" s="3" t="s">
        <v>1869</v>
      </c>
      <c r="D52" s="3" t="s">
        <v>2057</v>
      </c>
      <c r="E52" s="9"/>
      <c r="F52" s="9" t="n">
        <v>940000</v>
      </c>
      <c r="G52" s="3" t="s">
        <v>2054</v>
      </c>
      <c r="H52" s="9" t="n">
        <v>940000</v>
      </c>
      <c r="I52" s="3" t="s">
        <v>1940</v>
      </c>
      <c r="J52" s="3" t="s">
        <v>1868</v>
      </c>
      <c r="K52" s="3" t="s">
        <v>2058</v>
      </c>
    </row>
    <row r="53" customFormat="false" ht="15" hidden="false" customHeight="false" outlineLevel="0" collapsed="false">
      <c r="A53" s="3" t="s">
        <v>2068</v>
      </c>
      <c r="B53" s="8" t="n">
        <v>46022</v>
      </c>
      <c r="C53" s="3" t="s">
        <v>1863</v>
      </c>
      <c r="D53" s="3" t="s">
        <v>2053</v>
      </c>
      <c r="E53" s="9"/>
      <c r="F53" s="9" t="n">
        <v>325000</v>
      </c>
      <c r="G53" s="3" t="s">
        <v>2054</v>
      </c>
      <c r="H53" s="9" t="n">
        <v>-325000</v>
      </c>
      <c r="I53" s="3" t="s">
        <v>1940</v>
      </c>
      <c r="J53" s="3" t="s">
        <v>1862</v>
      </c>
      <c r="K53" s="3" t="s">
        <v>2055</v>
      </c>
    </row>
    <row r="54" customFormat="false" ht="15" hidden="false" customHeight="false" outlineLevel="0" collapsed="false">
      <c r="A54" s="3" t="s">
        <v>2069</v>
      </c>
      <c r="B54" s="8" t="n">
        <v>46022</v>
      </c>
      <c r="C54" s="3" t="s">
        <v>1865</v>
      </c>
      <c r="D54" s="3" t="s">
        <v>2053</v>
      </c>
      <c r="E54" s="9"/>
      <c r="F54" s="9" t="n">
        <v>1150000</v>
      </c>
      <c r="G54" s="3" t="s">
        <v>2054</v>
      </c>
      <c r="H54" s="9" t="n">
        <v>-1150000</v>
      </c>
      <c r="I54" s="3" t="s">
        <v>1940</v>
      </c>
      <c r="J54" s="3" t="s">
        <v>1864</v>
      </c>
      <c r="K54" s="3" t="s">
        <v>2055</v>
      </c>
    </row>
  </sheetData>
  <autoFilter ref="A4:K5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  <col collapsed="false" customWidth="true" hidden="false" outlineLevel="0" max="2" min="2" style="0" width="3"/>
    <col collapsed="false" customWidth="true" hidden="false" outlineLevel="0" max="3" min="3" style="0" width="20"/>
  </cols>
  <sheetData>
    <row r="1" customFormat="false" ht="17.35" hidden="false" customHeight="false" outlineLevel="0" collapsed="false">
      <c r="A1" s="1" t="s">
        <v>2070</v>
      </c>
    </row>
    <row r="2" customFormat="false" ht="15" hidden="false" customHeight="false" outlineLevel="0" collapsed="false">
      <c r="A2" s="10" t="s">
        <v>2071</v>
      </c>
    </row>
    <row r="4" customFormat="false" ht="15" hidden="false" customHeight="false" outlineLevel="0" collapsed="false">
      <c r="A4" s="20" t="s">
        <v>2072</v>
      </c>
    </row>
    <row r="5" customFormat="false" ht="15" hidden="false" customHeight="false" outlineLevel="0" collapsed="false">
      <c r="A5" s="3" t="s">
        <v>2073</v>
      </c>
      <c r="C5" s="9" t="n">
        <f aca="false">'Bank Statement'!H581</f>
        <v>111812086.36</v>
      </c>
    </row>
    <row r="6" customFormat="false" ht="15" hidden="false" customHeight="false" outlineLevel="0" collapsed="false">
      <c r="A6" s="21" t="s">
        <v>2074</v>
      </c>
      <c r="C6" s="9" t="n">
        <f aca="false">SUMIFS('Recon Exceptions'!$H$5:$H$54,'Recon Exceptions'!$D$5:$D$54,"Deposit in transit")</f>
        <v>6200000</v>
      </c>
    </row>
    <row r="7" customFormat="false" ht="15" hidden="false" customHeight="false" outlineLevel="0" collapsed="false">
      <c r="A7" s="21" t="s">
        <v>2075</v>
      </c>
      <c r="C7" s="9" t="n">
        <f aca="false">SUMIFS('Recon Exceptions'!$H$5:$H$54,'Recon Exceptions'!$D$5:$D$54,"Outstanding cheque")</f>
        <v>-4705000</v>
      </c>
    </row>
    <row r="8" customFormat="false" ht="15" hidden="false" customHeight="false" outlineLevel="0" collapsed="false">
      <c r="A8" s="2" t="s">
        <v>2076</v>
      </c>
      <c r="C8" s="6" t="n">
        <f aca="false">SUM(C5:C7)</f>
        <v>113307086.36</v>
      </c>
    </row>
    <row r="10" customFormat="false" ht="15" hidden="false" customHeight="false" outlineLevel="0" collapsed="false">
      <c r="A10" s="20" t="s">
        <v>2077</v>
      </c>
    </row>
    <row r="11" customFormat="false" ht="15" hidden="false" customHeight="false" outlineLevel="0" collapsed="false">
      <c r="A11" s="3" t="s">
        <v>2078</v>
      </c>
      <c r="C11" s="9" t="n">
        <f aca="false">'Cash Book'!F523</f>
        <v>117073006.9</v>
      </c>
    </row>
    <row r="12" customFormat="false" ht="15" hidden="false" customHeight="false" outlineLevel="0" collapsed="false">
      <c r="A12" s="21" t="s">
        <v>2079</v>
      </c>
      <c r="C12" s="9" t="n">
        <f aca="false">SUMIFS('Recon Exceptions'!$H$5:$H$54,'Recon Exceptions'!$D$5:$D$54,"Bank credit not in cash book")</f>
        <v>2024205.56</v>
      </c>
    </row>
    <row r="13" customFormat="false" ht="15" hidden="false" customHeight="false" outlineLevel="0" collapsed="false">
      <c r="A13" s="21" t="s">
        <v>2080</v>
      </c>
      <c r="C13" s="9" t="n">
        <f aca="false">SUMIFS('Recon Exceptions'!$H$5:$H$54,'Recon Exceptions'!$D$5:$D$54,"Bank debit not in cash book")</f>
        <v>-7206126.1</v>
      </c>
    </row>
    <row r="14" customFormat="false" ht="15" hidden="false" customHeight="false" outlineLevel="0" collapsed="false">
      <c r="A14" s="21" t="s">
        <v>2081</v>
      </c>
      <c r="C14" s="9" t="n">
        <f aca="false">SUMIFS('Recon Exceptions'!$H$5:$H$54,'Recon Exceptions'!$D$5:$D$54,"Amount error in cash book")</f>
        <v>36000</v>
      </c>
    </row>
    <row r="15" customFormat="false" ht="15" hidden="false" customHeight="false" outlineLevel="0" collapsed="false">
      <c r="A15" s="21" t="s">
        <v>2082</v>
      </c>
      <c r="C15" s="9" t="n">
        <f aca="false">SUMIFS('Recon Exceptions'!$H$5:$H$54,'Recon Exceptions'!$D$5:$D$54,"Duplicate entry in cash book")</f>
        <v>1380000</v>
      </c>
    </row>
    <row r="16" customFormat="false" ht="15" hidden="false" customHeight="false" outlineLevel="0" collapsed="false">
      <c r="A16" s="2" t="s">
        <v>2083</v>
      </c>
      <c r="C16" s="6" t="n">
        <f aca="false">SUM(C11:C15)</f>
        <v>113307086.36</v>
      </c>
    </row>
    <row r="18" customFormat="false" ht="15" hidden="false" customHeight="false" outlineLevel="0" collapsed="false">
      <c r="A18" s="2" t="s">
        <v>2084</v>
      </c>
      <c r="C18" s="22" t="n">
        <f aca="false">ROUND(C8-C16,2)</f>
        <v>0</v>
      </c>
    </row>
    <row r="20" customFormat="false" ht="15" hidden="false" customHeight="false" outlineLevel="0" collapsed="false">
      <c r="A20" s="10" t="s">
        <v>2085</v>
      </c>
    </row>
    <row r="21" customFormat="false" ht="15" hidden="false" customHeight="false" outlineLevel="0" collapsed="false">
      <c r="A21" s="10" t="s">
        <v>2086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3"/>
    <col collapsed="false" customWidth="true" hidden="false" outlineLevel="0" max="4" min="3" style="0" width="8"/>
    <col collapsed="false" customWidth="true" hidden="false" outlineLevel="0" max="5" min="5" style="0" width="18"/>
    <col collapsed="false" customWidth="true" hidden="false" outlineLevel="0" max="8" min="6" style="0" width="16"/>
    <col collapsed="false" customWidth="true" hidden="false" outlineLevel="0" max="9" min="9" style="0" width="18"/>
  </cols>
  <sheetData>
    <row r="1" customFormat="false" ht="17.35" hidden="false" customHeight="false" outlineLevel="0" collapsed="false">
      <c r="A1" s="1" t="s">
        <v>2087</v>
      </c>
    </row>
    <row r="3" customFormat="false" ht="15" hidden="false" customHeight="false" outlineLevel="0" collapsed="false">
      <c r="A3" s="3" t="s">
        <v>2088</v>
      </c>
      <c r="C3" s="23" t="n">
        <v>20000000</v>
      </c>
      <c r="E3" s="10" t="s">
        <v>2089</v>
      </c>
    </row>
    <row r="4" customFormat="false" ht="15" hidden="false" customHeight="false" outlineLevel="0" collapsed="false">
      <c r="A4" s="3" t="s">
        <v>2090</v>
      </c>
      <c r="C4" s="24" t="n">
        <v>0.24</v>
      </c>
    </row>
    <row r="5" customFormat="false" ht="15" hidden="false" customHeight="false" outlineLevel="0" collapsed="false">
      <c r="A5" s="3" t="s">
        <v>2091</v>
      </c>
      <c r="C5" s="25" t="n">
        <v>24</v>
      </c>
    </row>
    <row r="6" customFormat="false" ht="15" hidden="false" customHeight="false" outlineLevel="0" collapsed="false">
      <c r="A6" s="3" t="s">
        <v>2092</v>
      </c>
      <c r="C6" s="26" t="n">
        <v>45726</v>
      </c>
    </row>
    <row r="7" customFormat="false" ht="15" hidden="false" customHeight="false" outlineLevel="0" collapsed="false">
      <c r="A7" s="3" t="s">
        <v>2093</v>
      </c>
      <c r="C7" s="26" t="n">
        <v>45757</v>
      </c>
    </row>
    <row r="8" customFormat="false" ht="15" hidden="false" customHeight="false" outlineLevel="0" collapsed="false">
      <c r="A8" s="2" t="s">
        <v>2094</v>
      </c>
      <c r="C8" s="6" t="n">
        <f aca="false">ROUND(-PMT(C4/12,C5,C3),2)</f>
        <v>1057421.95</v>
      </c>
    </row>
    <row r="10" customFormat="false" ht="30" hidden="false" customHeight="true" outlineLevel="0" collapsed="false">
      <c r="A10" s="7" t="s">
        <v>2095</v>
      </c>
      <c r="B10" s="7" t="s">
        <v>2096</v>
      </c>
      <c r="C10" s="7" t="s">
        <v>2097</v>
      </c>
      <c r="D10" s="7" t="s">
        <v>1875</v>
      </c>
      <c r="E10" s="7" t="s">
        <v>33</v>
      </c>
      <c r="F10" s="7" t="s">
        <v>2098</v>
      </c>
      <c r="G10" s="7" t="s">
        <v>2099</v>
      </c>
      <c r="H10" s="7" t="s">
        <v>2100</v>
      </c>
      <c r="I10" s="7" t="s">
        <v>36</v>
      </c>
    </row>
    <row r="11" customFormat="false" ht="15" hidden="false" customHeight="false" outlineLevel="0" collapsed="false">
      <c r="A11" s="3" t="n">
        <v>1</v>
      </c>
      <c r="B11" s="8" t="n">
        <f aca="false">EDATE($C$7,A11-1)</f>
        <v>45757</v>
      </c>
      <c r="C11" s="3" t="n">
        <f aca="false">YEAR(B11)</f>
        <v>2025</v>
      </c>
      <c r="D11" s="3" t="n">
        <f aca="false">MONTH(B11)</f>
        <v>4</v>
      </c>
      <c r="E11" s="9" t="n">
        <f aca="false">$C$3</f>
        <v>20000000</v>
      </c>
      <c r="F11" s="9" t="n">
        <f aca="false">$C$8</f>
        <v>1057421.95</v>
      </c>
      <c r="G11" s="9" t="n">
        <f aca="false">ROUND(E11*$C$4/12,2)</f>
        <v>400000</v>
      </c>
      <c r="H11" s="9" t="n">
        <f aca="false">F11-G11</f>
        <v>657421.95</v>
      </c>
      <c r="I11" s="9" t="n">
        <f aca="false">E11-H11</f>
        <v>19342578.05</v>
      </c>
    </row>
    <row r="12" customFormat="false" ht="15" hidden="false" customHeight="false" outlineLevel="0" collapsed="false">
      <c r="A12" s="3" t="n">
        <v>2</v>
      </c>
      <c r="B12" s="8" t="n">
        <f aca="false">EDATE($C$7,A12-1)</f>
        <v>45787</v>
      </c>
      <c r="C12" s="3" t="n">
        <f aca="false">YEAR(B12)</f>
        <v>2025</v>
      </c>
      <c r="D12" s="3" t="n">
        <f aca="false">MONTH(B12)</f>
        <v>5</v>
      </c>
      <c r="E12" s="9" t="n">
        <f aca="false">I11</f>
        <v>19342578.05</v>
      </c>
      <c r="F12" s="9" t="n">
        <f aca="false">$C$8</f>
        <v>1057421.95</v>
      </c>
      <c r="G12" s="9" t="n">
        <f aca="false">ROUND(E12*$C$4/12,2)</f>
        <v>386851.56</v>
      </c>
      <c r="H12" s="9" t="n">
        <f aca="false">F12-G12</f>
        <v>670570.39</v>
      </c>
      <c r="I12" s="9" t="n">
        <f aca="false">E12-H12</f>
        <v>18672007.66</v>
      </c>
    </row>
    <row r="13" customFormat="false" ht="15" hidden="false" customHeight="false" outlineLevel="0" collapsed="false">
      <c r="A13" s="3" t="n">
        <v>3</v>
      </c>
      <c r="B13" s="8" t="n">
        <f aca="false">EDATE($C$7,A13-1)</f>
        <v>45818</v>
      </c>
      <c r="C13" s="3" t="n">
        <f aca="false">YEAR(B13)</f>
        <v>2025</v>
      </c>
      <c r="D13" s="3" t="n">
        <f aca="false">MONTH(B13)</f>
        <v>6</v>
      </c>
      <c r="E13" s="9" t="n">
        <f aca="false">I12</f>
        <v>18672007.66</v>
      </c>
      <c r="F13" s="9" t="n">
        <f aca="false">$C$8</f>
        <v>1057421.95</v>
      </c>
      <c r="G13" s="9" t="n">
        <f aca="false">ROUND(E13*$C$4/12,2)</f>
        <v>373440.15</v>
      </c>
      <c r="H13" s="9" t="n">
        <f aca="false">F13-G13</f>
        <v>683981.8</v>
      </c>
      <c r="I13" s="9" t="n">
        <f aca="false">E13-H13</f>
        <v>17988025.86</v>
      </c>
    </row>
    <row r="14" customFormat="false" ht="15" hidden="false" customHeight="false" outlineLevel="0" collapsed="false">
      <c r="A14" s="3" t="n">
        <v>4</v>
      </c>
      <c r="B14" s="8" t="n">
        <f aca="false">EDATE($C$7,A14-1)</f>
        <v>45848</v>
      </c>
      <c r="C14" s="3" t="n">
        <f aca="false">YEAR(B14)</f>
        <v>2025</v>
      </c>
      <c r="D14" s="3" t="n">
        <f aca="false">MONTH(B14)</f>
        <v>7</v>
      </c>
      <c r="E14" s="9" t="n">
        <f aca="false">I13</f>
        <v>17988025.86</v>
      </c>
      <c r="F14" s="9" t="n">
        <f aca="false">$C$8</f>
        <v>1057421.95</v>
      </c>
      <c r="G14" s="9" t="n">
        <f aca="false">ROUND(E14*$C$4/12,2)</f>
        <v>359760.52</v>
      </c>
      <c r="H14" s="9" t="n">
        <f aca="false">F14-G14</f>
        <v>697661.43</v>
      </c>
      <c r="I14" s="9" t="n">
        <f aca="false">E14-H14</f>
        <v>17290364.43</v>
      </c>
    </row>
    <row r="15" customFormat="false" ht="15" hidden="false" customHeight="false" outlineLevel="0" collapsed="false">
      <c r="A15" s="3" t="n">
        <v>5</v>
      </c>
      <c r="B15" s="8" t="n">
        <f aca="false">EDATE($C$7,A15-1)</f>
        <v>45879</v>
      </c>
      <c r="C15" s="3" t="n">
        <f aca="false">YEAR(B15)</f>
        <v>2025</v>
      </c>
      <c r="D15" s="3" t="n">
        <f aca="false">MONTH(B15)</f>
        <v>8</v>
      </c>
      <c r="E15" s="9" t="n">
        <f aca="false">I14</f>
        <v>17290364.43</v>
      </c>
      <c r="F15" s="9" t="n">
        <f aca="false">$C$8</f>
        <v>1057421.95</v>
      </c>
      <c r="G15" s="9" t="n">
        <f aca="false">ROUND(E15*$C$4/12,2)</f>
        <v>345807.29</v>
      </c>
      <c r="H15" s="9" t="n">
        <f aca="false">F15-G15</f>
        <v>711614.66</v>
      </c>
      <c r="I15" s="9" t="n">
        <f aca="false">E15-H15</f>
        <v>16578749.77</v>
      </c>
    </row>
    <row r="16" customFormat="false" ht="15" hidden="false" customHeight="false" outlineLevel="0" collapsed="false">
      <c r="A16" s="3" t="n">
        <v>6</v>
      </c>
      <c r="B16" s="8" t="n">
        <f aca="false">EDATE($C$7,A16-1)</f>
        <v>45910</v>
      </c>
      <c r="C16" s="3" t="n">
        <f aca="false">YEAR(B16)</f>
        <v>2025</v>
      </c>
      <c r="D16" s="3" t="n">
        <f aca="false">MONTH(B16)</f>
        <v>9</v>
      </c>
      <c r="E16" s="9" t="n">
        <f aca="false">I15</f>
        <v>16578749.77</v>
      </c>
      <c r="F16" s="9" t="n">
        <f aca="false">$C$8</f>
        <v>1057421.95</v>
      </c>
      <c r="G16" s="9" t="n">
        <f aca="false">ROUND(E16*$C$4/12,2)</f>
        <v>331575</v>
      </c>
      <c r="H16" s="9" t="n">
        <f aca="false">F16-G16</f>
        <v>725846.95</v>
      </c>
      <c r="I16" s="9" t="n">
        <f aca="false">E16-H16</f>
        <v>15852902.82</v>
      </c>
    </row>
    <row r="17" customFormat="false" ht="15" hidden="false" customHeight="false" outlineLevel="0" collapsed="false">
      <c r="A17" s="3" t="n">
        <v>7</v>
      </c>
      <c r="B17" s="8" t="n">
        <f aca="false">EDATE($C$7,A17-1)</f>
        <v>45940</v>
      </c>
      <c r="C17" s="3" t="n">
        <f aca="false">YEAR(B17)</f>
        <v>2025</v>
      </c>
      <c r="D17" s="3" t="n">
        <f aca="false">MONTH(B17)</f>
        <v>10</v>
      </c>
      <c r="E17" s="9" t="n">
        <f aca="false">I16</f>
        <v>15852902.82</v>
      </c>
      <c r="F17" s="9" t="n">
        <f aca="false">$C$8</f>
        <v>1057421.95</v>
      </c>
      <c r="G17" s="9" t="n">
        <f aca="false">ROUND(E17*$C$4/12,2)</f>
        <v>317058.06</v>
      </c>
      <c r="H17" s="9" t="n">
        <f aca="false">F17-G17</f>
        <v>740363.89</v>
      </c>
      <c r="I17" s="9" t="n">
        <f aca="false">E17-H17</f>
        <v>15112538.93</v>
      </c>
    </row>
    <row r="18" customFormat="false" ht="15" hidden="false" customHeight="false" outlineLevel="0" collapsed="false">
      <c r="A18" s="3" t="n">
        <v>8</v>
      </c>
      <c r="B18" s="8" t="n">
        <f aca="false">EDATE($C$7,A18-1)</f>
        <v>45971</v>
      </c>
      <c r="C18" s="3" t="n">
        <f aca="false">YEAR(B18)</f>
        <v>2025</v>
      </c>
      <c r="D18" s="3" t="n">
        <f aca="false">MONTH(B18)</f>
        <v>11</v>
      </c>
      <c r="E18" s="9" t="n">
        <f aca="false">I17</f>
        <v>15112538.93</v>
      </c>
      <c r="F18" s="9" t="n">
        <f aca="false">$C$8</f>
        <v>1057421.95</v>
      </c>
      <c r="G18" s="9" t="n">
        <f aca="false">ROUND(E18*$C$4/12,2)</f>
        <v>302250.78</v>
      </c>
      <c r="H18" s="9" t="n">
        <f aca="false">F18-G18</f>
        <v>755171.17</v>
      </c>
      <c r="I18" s="9" t="n">
        <f aca="false">E18-H18</f>
        <v>14357367.76</v>
      </c>
    </row>
    <row r="19" customFormat="false" ht="15" hidden="false" customHeight="false" outlineLevel="0" collapsed="false">
      <c r="A19" s="3" t="n">
        <v>9</v>
      </c>
      <c r="B19" s="8" t="n">
        <f aca="false">EDATE($C$7,A19-1)</f>
        <v>46001</v>
      </c>
      <c r="C19" s="3" t="n">
        <f aca="false">YEAR(B19)</f>
        <v>2025</v>
      </c>
      <c r="D19" s="3" t="n">
        <f aca="false">MONTH(B19)</f>
        <v>12</v>
      </c>
      <c r="E19" s="9" t="n">
        <f aca="false">I18</f>
        <v>14357367.76</v>
      </c>
      <c r="F19" s="9" t="n">
        <f aca="false">$C$8</f>
        <v>1057421.95</v>
      </c>
      <c r="G19" s="9" t="n">
        <f aca="false">ROUND(E19*$C$4/12,2)</f>
        <v>287147.36</v>
      </c>
      <c r="H19" s="9" t="n">
        <f aca="false">F19-G19</f>
        <v>770274.59</v>
      </c>
      <c r="I19" s="9" t="n">
        <f aca="false">E19-H19</f>
        <v>13587093.17</v>
      </c>
    </row>
    <row r="20" customFormat="false" ht="15" hidden="false" customHeight="false" outlineLevel="0" collapsed="false">
      <c r="A20" s="3" t="n">
        <v>10</v>
      </c>
      <c r="B20" s="8" t="n">
        <f aca="false">EDATE($C$7,A20-1)</f>
        <v>46032</v>
      </c>
      <c r="C20" s="3" t="n">
        <f aca="false">YEAR(B20)</f>
        <v>2026</v>
      </c>
      <c r="D20" s="3" t="n">
        <f aca="false">MONTH(B20)</f>
        <v>1</v>
      </c>
      <c r="E20" s="9" t="n">
        <f aca="false">I19</f>
        <v>13587093.17</v>
      </c>
      <c r="F20" s="9" t="n">
        <f aca="false">$C$8</f>
        <v>1057421.95</v>
      </c>
      <c r="G20" s="9" t="n">
        <f aca="false">ROUND(E20*$C$4/12,2)</f>
        <v>271741.86</v>
      </c>
      <c r="H20" s="9" t="n">
        <f aca="false">F20-G20</f>
        <v>785680.09</v>
      </c>
      <c r="I20" s="9" t="n">
        <f aca="false">E20-H20</f>
        <v>12801413.08</v>
      </c>
    </row>
    <row r="21" customFormat="false" ht="15" hidden="false" customHeight="false" outlineLevel="0" collapsed="false">
      <c r="A21" s="3" t="n">
        <v>11</v>
      </c>
      <c r="B21" s="8" t="n">
        <f aca="false">EDATE($C$7,A21-1)</f>
        <v>46063</v>
      </c>
      <c r="C21" s="3" t="n">
        <f aca="false">YEAR(B21)</f>
        <v>2026</v>
      </c>
      <c r="D21" s="3" t="n">
        <f aca="false">MONTH(B21)</f>
        <v>2</v>
      </c>
      <c r="E21" s="9" t="n">
        <f aca="false">I20</f>
        <v>12801413.08</v>
      </c>
      <c r="F21" s="9" t="n">
        <f aca="false">$C$8</f>
        <v>1057421.95</v>
      </c>
      <c r="G21" s="9" t="n">
        <f aca="false">ROUND(E21*$C$4/12,2)</f>
        <v>256028.26</v>
      </c>
      <c r="H21" s="9" t="n">
        <f aca="false">F21-G21</f>
        <v>801393.69</v>
      </c>
      <c r="I21" s="9" t="n">
        <f aca="false">E21-H21</f>
        <v>12000019.39</v>
      </c>
    </row>
    <row r="22" customFormat="false" ht="15" hidden="false" customHeight="false" outlineLevel="0" collapsed="false">
      <c r="A22" s="3" t="n">
        <v>12</v>
      </c>
      <c r="B22" s="8" t="n">
        <f aca="false">EDATE($C$7,A22-1)</f>
        <v>46091</v>
      </c>
      <c r="C22" s="3" t="n">
        <f aca="false">YEAR(B22)</f>
        <v>2026</v>
      </c>
      <c r="D22" s="3" t="n">
        <f aca="false">MONTH(B22)</f>
        <v>3</v>
      </c>
      <c r="E22" s="9" t="n">
        <f aca="false">I21</f>
        <v>12000019.39</v>
      </c>
      <c r="F22" s="9" t="n">
        <f aca="false">$C$8</f>
        <v>1057421.95</v>
      </c>
      <c r="G22" s="9" t="n">
        <f aca="false">ROUND(E22*$C$4/12,2)</f>
        <v>240000.39</v>
      </c>
      <c r="H22" s="9" t="n">
        <f aca="false">F22-G22</f>
        <v>817421.56</v>
      </c>
      <c r="I22" s="9" t="n">
        <f aca="false">E22-H22</f>
        <v>11182597.83</v>
      </c>
    </row>
    <row r="23" customFormat="false" ht="15" hidden="false" customHeight="false" outlineLevel="0" collapsed="false">
      <c r="A23" s="3" t="n">
        <v>13</v>
      </c>
      <c r="B23" s="8" t="n">
        <f aca="false">EDATE($C$7,A23-1)</f>
        <v>46122</v>
      </c>
      <c r="C23" s="3" t="n">
        <f aca="false">YEAR(B23)</f>
        <v>2026</v>
      </c>
      <c r="D23" s="3" t="n">
        <f aca="false">MONTH(B23)</f>
        <v>4</v>
      </c>
      <c r="E23" s="9" t="n">
        <f aca="false">I22</f>
        <v>11182597.83</v>
      </c>
      <c r="F23" s="9" t="n">
        <f aca="false">$C$8</f>
        <v>1057421.95</v>
      </c>
      <c r="G23" s="9" t="n">
        <f aca="false">ROUND(E23*$C$4/12,2)</f>
        <v>223651.96</v>
      </c>
      <c r="H23" s="9" t="n">
        <f aca="false">F23-G23</f>
        <v>833769.99</v>
      </c>
      <c r="I23" s="9" t="n">
        <f aca="false">E23-H23</f>
        <v>10348827.84</v>
      </c>
    </row>
    <row r="24" customFormat="false" ht="15" hidden="false" customHeight="false" outlineLevel="0" collapsed="false">
      <c r="A24" s="3" t="n">
        <v>14</v>
      </c>
      <c r="B24" s="8" t="n">
        <f aca="false">EDATE($C$7,A24-1)</f>
        <v>46152</v>
      </c>
      <c r="C24" s="3" t="n">
        <f aca="false">YEAR(B24)</f>
        <v>2026</v>
      </c>
      <c r="D24" s="3" t="n">
        <f aca="false">MONTH(B24)</f>
        <v>5</v>
      </c>
      <c r="E24" s="9" t="n">
        <f aca="false">I23</f>
        <v>10348827.84</v>
      </c>
      <c r="F24" s="9" t="n">
        <f aca="false">$C$8</f>
        <v>1057421.95</v>
      </c>
      <c r="G24" s="9" t="n">
        <f aca="false">ROUND(E24*$C$4/12,2)</f>
        <v>206976.56</v>
      </c>
      <c r="H24" s="9" t="n">
        <f aca="false">F24-G24</f>
        <v>850445.39</v>
      </c>
      <c r="I24" s="9" t="n">
        <f aca="false">E24-H24</f>
        <v>9498382.45</v>
      </c>
    </row>
    <row r="25" customFormat="false" ht="15" hidden="false" customHeight="false" outlineLevel="0" collapsed="false">
      <c r="A25" s="3" t="n">
        <v>15</v>
      </c>
      <c r="B25" s="8" t="n">
        <f aca="false">EDATE($C$7,A25-1)</f>
        <v>46183</v>
      </c>
      <c r="C25" s="3" t="n">
        <f aca="false">YEAR(B25)</f>
        <v>2026</v>
      </c>
      <c r="D25" s="3" t="n">
        <f aca="false">MONTH(B25)</f>
        <v>6</v>
      </c>
      <c r="E25" s="9" t="n">
        <f aca="false">I24</f>
        <v>9498382.45</v>
      </c>
      <c r="F25" s="9" t="n">
        <f aca="false">$C$8</f>
        <v>1057421.95</v>
      </c>
      <c r="G25" s="9" t="n">
        <f aca="false">ROUND(E25*$C$4/12,2)</f>
        <v>189967.65</v>
      </c>
      <c r="H25" s="9" t="n">
        <f aca="false">F25-G25</f>
        <v>867454.3</v>
      </c>
      <c r="I25" s="9" t="n">
        <f aca="false">E25-H25</f>
        <v>8630928.15</v>
      </c>
    </row>
    <row r="26" customFormat="false" ht="15" hidden="false" customHeight="false" outlineLevel="0" collapsed="false">
      <c r="A26" s="3" t="n">
        <v>16</v>
      </c>
      <c r="B26" s="8" t="n">
        <f aca="false">EDATE($C$7,A26-1)</f>
        <v>46213</v>
      </c>
      <c r="C26" s="3" t="n">
        <f aca="false">YEAR(B26)</f>
        <v>2026</v>
      </c>
      <c r="D26" s="3" t="n">
        <f aca="false">MONTH(B26)</f>
        <v>7</v>
      </c>
      <c r="E26" s="9" t="n">
        <f aca="false">I25</f>
        <v>8630928.15</v>
      </c>
      <c r="F26" s="9" t="n">
        <f aca="false">$C$8</f>
        <v>1057421.95</v>
      </c>
      <c r="G26" s="9" t="n">
        <f aca="false">ROUND(E26*$C$4/12,2)</f>
        <v>172618.56</v>
      </c>
      <c r="H26" s="9" t="n">
        <f aca="false">F26-G26</f>
        <v>884803.39</v>
      </c>
      <c r="I26" s="9" t="n">
        <f aca="false">E26-H26</f>
        <v>7746124.76</v>
      </c>
    </row>
    <row r="27" customFormat="false" ht="15" hidden="false" customHeight="false" outlineLevel="0" collapsed="false">
      <c r="A27" s="3" t="n">
        <v>17</v>
      </c>
      <c r="B27" s="8" t="n">
        <f aca="false">EDATE($C$7,A27-1)</f>
        <v>46244</v>
      </c>
      <c r="C27" s="3" t="n">
        <f aca="false">YEAR(B27)</f>
        <v>2026</v>
      </c>
      <c r="D27" s="3" t="n">
        <f aca="false">MONTH(B27)</f>
        <v>8</v>
      </c>
      <c r="E27" s="9" t="n">
        <f aca="false">I26</f>
        <v>7746124.76</v>
      </c>
      <c r="F27" s="9" t="n">
        <f aca="false">$C$8</f>
        <v>1057421.95</v>
      </c>
      <c r="G27" s="9" t="n">
        <f aca="false">ROUND(E27*$C$4/12,2)</f>
        <v>154922.5</v>
      </c>
      <c r="H27" s="9" t="n">
        <f aca="false">F27-G27</f>
        <v>902499.45</v>
      </c>
      <c r="I27" s="9" t="n">
        <f aca="false">E27-H27</f>
        <v>6843625.31</v>
      </c>
    </row>
    <row r="28" customFormat="false" ht="15" hidden="false" customHeight="false" outlineLevel="0" collapsed="false">
      <c r="A28" s="3" t="n">
        <v>18</v>
      </c>
      <c r="B28" s="8" t="n">
        <f aca="false">EDATE($C$7,A28-1)</f>
        <v>46275</v>
      </c>
      <c r="C28" s="3" t="n">
        <f aca="false">YEAR(B28)</f>
        <v>2026</v>
      </c>
      <c r="D28" s="3" t="n">
        <f aca="false">MONTH(B28)</f>
        <v>9</v>
      </c>
      <c r="E28" s="9" t="n">
        <f aca="false">I27</f>
        <v>6843625.31</v>
      </c>
      <c r="F28" s="9" t="n">
        <f aca="false">$C$8</f>
        <v>1057421.95</v>
      </c>
      <c r="G28" s="9" t="n">
        <f aca="false">ROUND(E28*$C$4/12,2)</f>
        <v>136872.51</v>
      </c>
      <c r="H28" s="9" t="n">
        <f aca="false">F28-G28</f>
        <v>920549.44</v>
      </c>
      <c r="I28" s="9" t="n">
        <f aca="false">E28-H28</f>
        <v>5923075.87</v>
      </c>
    </row>
    <row r="29" customFormat="false" ht="15" hidden="false" customHeight="false" outlineLevel="0" collapsed="false">
      <c r="A29" s="3" t="n">
        <v>19</v>
      </c>
      <c r="B29" s="8" t="n">
        <f aca="false">EDATE($C$7,A29-1)</f>
        <v>46305</v>
      </c>
      <c r="C29" s="3" t="n">
        <f aca="false">YEAR(B29)</f>
        <v>2026</v>
      </c>
      <c r="D29" s="3" t="n">
        <f aca="false">MONTH(B29)</f>
        <v>10</v>
      </c>
      <c r="E29" s="9" t="n">
        <f aca="false">I28</f>
        <v>5923075.87</v>
      </c>
      <c r="F29" s="9" t="n">
        <f aca="false">$C$8</f>
        <v>1057421.95</v>
      </c>
      <c r="G29" s="9" t="n">
        <f aca="false">ROUND(E29*$C$4/12,2)</f>
        <v>118461.52</v>
      </c>
      <c r="H29" s="9" t="n">
        <f aca="false">F29-G29</f>
        <v>938960.43</v>
      </c>
      <c r="I29" s="9" t="n">
        <f aca="false">E29-H29</f>
        <v>4984115.44</v>
      </c>
    </row>
    <row r="30" customFormat="false" ht="15" hidden="false" customHeight="false" outlineLevel="0" collapsed="false">
      <c r="A30" s="3" t="n">
        <v>20</v>
      </c>
      <c r="B30" s="8" t="n">
        <f aca="false">EDATE($C$7,A30-1)</f>
        <v>46336</v>
      </c>
      <c r="C30" s="3" t="n">
        <f aca="false">YEAR(B30)</f>
        <v>2026</v>
      </c>
      <c r="D30" s="3" t="n">
        <f aca="false">MONTH(B30)</f>
        <v>11</v>
      </c>
      <c r="E30" s="9" t="n">
        <f aca="false">I29</f>
        <v>4984115.44</v>
      </c>
      <c r="F30" s="9" t="n">
        <f aca="false">$C$8</f>
        <v>1057421.95</v>
      </c>
      <c r="G30" s="9" t="n">
        <f aca="false">ROUND(E30*$C$4/12,2)</f>
        <v>99682.31</v>
      </c>
      <c r="H30" s="9" t="n">
        <f aca="false">F30-G30</f>
        <v>957739.64</v>
      </c>
      <c r="I30" s="9" t="n">
        <f aca="false">E30-H30</f>
        <v>4026375.8</v>
      </c>
    </row>
    <row r="31" customFormat="false" ht="15" hidden="false" customHeight="false" outlineLevel="0" collapsed="false">
      <c r="A31" s="3" t="n">
        <v>21</v>
      </c>
      <c r="B31" s="8" t="n">
        <f aca="false">EDATE($C$7,A31-1)</f>
        <v>46366</v>
      </c>
      <c r="C31" s="3" t="n">
        <f aca="false">YEAR(B31)</f>
        <v>2026</v>
      </c>
      <c r="D31" s="3" t="n">
        <f aca="false">MONTH(B31)</f>
        <v>12</v>
      </c>
      <c r="E31" s="9" t="n">
        <f aca="false">I30</f>
        <v>4026375.8</v>
      </c>
      <c r="F31" s="9" t="n">
        <f aca="false">$C$8</f>
        <v>1057421.95</v>
      </c>
      <c r="G31" s="9" t="n">
        <f aca="false">ROUND(E31*$C$4/12,2)</f>
        <v>80527.52</v>
      </c>
      <c r="H31" s="9" t="n">
        <f aca="false">F31-G31</f>
        <v>976894.43</v>
      </c>
      <c r="I31" s="9" t="n">
        <f aca="false">E31-H31</f>
        <v>3049481.37</v>
      </c>
    </row>
    <row r="32" customFormat="false" ht="15" hidden="false" customHeight="false" outlineLevel="0" collapsed="false">
      <c r="A32" s="3" t="n">
        <v>22</v>
      </c>
      <c r="B32" s="8" t="n">
        <f aca="false">EDATE($C$7,A32-1)</f>
        <v>46397</v>
      </c>
      <c r="C32" s="3" t="n">
        <f aca="false">YEAR(B32)</f>
        <v>2027</v>
      </c>
      <c r="D32" s="3" t="n">
        <f aca="false">MONTH(B32)</f>
        <v>1</v>
      </c>
      <c r="E32" s="9" t="n">
        <f aca="false">I31</f>
        <v>3049481.37</v>
      </c>
      <c r="F32" s="9" t="n">
        <f aca="false">$C$8</f>
        <v>1057421.95</v>
      </c>
      <c r="G32" s="9" t="n">
        <f aca="false">ROUND(E32*$C$4/12,2)</f>
        <v>60989.63</v>
      </c>
      <c r="H32" s="9" t="n">
        <f aca="false">F32-G32</f>
        <v>996432.32</v>
      </c>
      <c r="I32" s="9" t="n">
        <f aca="false">E32-H32</f>
        <v>2053049.05</v>
      </c>
    </row>
    <row r="33" customFormat="false" ht="15" hidden="false" customHeight="false" outlineLevel="0" collapsed="false">
      <c r="A33" s="3" t="n">
        <v>23</v>
      </c>
      <c r="B33" s="8" t="n">
        <f aca="false">EDATE($C$7,A33-1)</f>
        <v>46428</v>
      </c>
      <c r="C33" s="3" t="n">
        <f aca="false">YEAR(B33)</f>
        <v>2027</v>
      </c>
      <c r="D33" s="3" t="n">
        <f aca="false">MONTH(B33)</f>
        <v>2</v>
      </c>
      <c r="E33" s="9" t="n">
        <f aca="false">I32</f>
        <v>2053049.05</v>
      </c>
      <c r="F33" s="9" t="n">
        <f aca="false">$C$8</f>
        <v>1057421.95</v>
      </c>
      <c r="G33" s="9" t="n">
        <f aca="false">ROUND(E33*$C$4/12,2)</f>
        <v>41060.98</v>
      </c>
      <c r="H33" s="9" t="n">
        <f aca="false">F33-G33</f>
        <v>1016360.97</v>
      </c>
      <c r="I33" s="9" t="n">
        <f aca="false">E33-H33</f>
        <v>1036688.08</v>
      </c>
    </row>
    <row r="34" customFormat="false" ht="15" hidden="false" customHeight="false" outlineLevel="0" collapsed="false">
      <c r="A34" s="3" t="n">
        <v>24</v>
      </c>
      <c r="B34" s="8" t="n">
        <f aca="false">EDATE($C$7,A34-1)</f>
        <v>46456</v>
      </c>
      <c r="C34" s="3" t="n">
        <f aca="false">YEAR(B34)</f>
        <v>2027</v>
      </c>
      <c r="D34" s="3" t="n">
        <f aca="false">MONTH(B34)</f>
        <v>3</v>
      </c>
      <c r="E34" s="9" t="n">
        <f aca="false">I33</f>
        <v>1036688.08</v>
      </c>
      <c r="F34" s="9" t="n">
        <f aca="false">E34+G34</f>
        <v>1057421.84</v>
      </c>
      <c r="G34" s="9" t="n">
        <f aca="false">ROUND(E34*$C$4/12,2)</f>
        <v>20733.76</v>
      </c>
      <c r="H34" s="9" t="n">
        <f aca="false">F34-G34</f>
        <v>1036688.08</v>
      </c>
      <c r="I34" s="9" t="n">
        <f aca="false">E34-H34</f>
        <v>0</v>
      </c>
    </row>
    <row r="36" customFormat="false" ht="15" hidden="false" customHeight="false" outlineLevel="0" collapsed="false">
      <c r="A36" s="2" t="s">
        <v>2101</v>
      </c>
    </row>
    <row r="37" customFormat="false" ht="15" hidden="false" customHeight="false" outlineLevel="0" collapsed="false">
      <c r="A37" s="3" t="s">
        <v>2102</v>
      </c>
      <c r="C37" s="9" t="n">
        <f aca="false">SUMIFS(F11:F34,C11:C34,2025)</f>
        <v>9516797.55</v>
      </c>
    </row>
    <row r="38" customFormat="false" ht="15" hidden="false" customHeight="false" outlineLevel="0" collapsed="false">
      <c r="A38" s="3" t="s">
        <v>2103</v>
      </c>
      <c r="C38" s="9" t="n">
        <f aca="false">SUMIFS(G11:G34,C11:C34,2025)</f>
        <v>3103890.72</v>
      </c>
    </row>
    <row r="39" customFormat="false" ht="15" hidden="false" customHeight="false" outlineLevel="0" collapsed="false">
      <c r="A39" s="3" t="s">
        <v>2104</v>
      </c>
      <c r="C39" s="9" t="n">
        <f aca="false">SUMIFS(H11:H34,C11:C34,2025)</f>
        <v>6412906.83</v>
      </c>
    </row>
    <row r="40" customFormat="false" ht="15" hidden="false" customHeight="false" outlineLevel="0" collapsed="false">
      <c r="A40" s="3" t="s">
        <v>2105</v>
      </c>
      <c r="C40" s="9" t="n">
        <f aca="false">INDEX(I11:I34,MATCH(DATE(2025,12,10),B11:B34,0))</f>
        <v>13587093.17</v>
      </c>
    </row>
    <row r="41" customFormat="false" ht="15" hidden="false" customHeight="false" outlineLevel="0" collapsed="false">
      <c r="A41" s="3" t="s">
        <v>2106</v>
      </c>
      <c r="C41" s="9" t="n">
        <f aca="false">SUMIFS(H11:H34,C11:C34,2026)</f>
        <v>10537611.8</v>
      </c>
    </row>
    <row r="42" customFormat="false" ht="15" hidden="false" customHeight="false" outlineLevel="0" collapsed="false">
      <c r="A42" s="3" t="s">
        <v>2107</v>
      </c>
      <c r="C42" s="9" t="n">
        <f aca="false">C40-C41</f>
        <v>3049481.37</v>
      </c>
    </row>
    <row r="43" customFormat="false" ht="15" hidden="false" customHeight="false" outlineLevel="0" collapsed="false">
      <c r="A43" s="3" t="s">
        <v>2108</v>
      </c>
      <c r="C43" s="9" t="n">
        <f aca="false">ROUND(C40*C4/12*21/31,2)</f>
        <v>184083.2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14" min="3" style="0" width="14"/>
    <col collapsed="false" customWidth="true" hidden="false" outlineLevel="0" max="15" min="15" style="0" width="16"/>
  </cols>
  <sheetData>
    <row r="1" customFormat="false" ht="17.35" hidden="false" customHeight="false" outlineLevel="0" collapsed="false">
      <c r="A1" s="1" t="s">
        <v>2109</v>
      </c>
    </row>
    <row r="2" customFormat="false" ht="15" hidden="false" customHeight="false" outlineLevel="0" collapsed="false">
      <c r="A2" s="10" t="s">
        <v>2110</v>
      </c>
    </row>
    <row r="4" customFormat="false" ht="15" hidden="false" customHeight="false" outlineLevel="0" collapsed="false">
      <c r="B4" s="10" t="s">
        <v>2111</v>
      </c>
      <c r="C4" s="27" t="n">
        <v>1</v>
      </c>
      <c r="D4" s="27" t="n">
        <v>2</v>
      </c>
      <c r="E4" s="27" t="n">
        <v>3</v>
      </c>
      <c r="F4" s="27" t="n">
        <v>4</v>
      </c>
      <c r="G4" s="27" t="n">
        <v>5</v>
      </c>
      <c r="H4" s="27" t="n">
        <v>6</v>
      </c>
      <c r="I4" s="27" t="n">
        <v>7</v>
      </c>
      <c r="J4" s="27" t="n">
        <v>8</v>
      </c>
      <c r="K4" s="27" t="n">
        <v>9</v>
      </c>
      <c r="L4" s="27" t="n">
        <v>10</v>
      </c>
      <c r="M4" s="27" t="n">
        <v>11</v>
      </c>
      <c r="N4" s="27" t="n">
        <v>12</v>
      </c>
    </row>
    <row r="5" customFormat="false" ht="30" hidden="false" customHeight="true" outlineLevel="0" collapsed="false">
      <c r="A5" s="7" t="s">
        <v>1876</v>
      </c>
      <c r="B5" s="7" t="s">
        <v>1877</v>
      </c>
      <c r="C5" s="7" t="s">
        <v>2112</v>
      </c>
      <c r="D5" s="7" t="s">
        <v>2113</v>
      </c>
      <c r="E5" s="7" t="s">
        <v>2114</v>
      </c>
      <c r="F5" s="7" t="s">
        <v>2115</v>
      </c>
      <c r="G5" s="7" t="s">
        <v>2116</v>
      </c>
      <c r="H5" s="7" t="s">
        <v>2117</v>
      </c>
      <c r="I5" s="7" t="s">
        <v>2118</v>
      </c>
      <c r="J5" s="7" t="s">
        <v>2119</v>
      </c>
      <c r="K5" s="7" t="s">
        <v>2120</v>
      </c>
      <c r="L5" s="7" t="s">
        <v>2121</v>
      </c>
      <c r="M5" s="7" t="s">
        <v>2122</v>
      </c>
      <c r="N5" s="7" t="s">
        <v>2123</v>
      </c>
      <c r="O5" s="7" t="s">
        <v>2124</v>
      </c>
    </row>
    <row r="6" customFormat="false" ht="15" hidden="false" customHeight="false" outlineLevel="0" collapsed="false">
      <c r="A6" s="3" t="s">
        <v>1882</v>
      </c>
      <c r="B6" s="3" t="s">
        <v>1883</v>
      </c>
      <c r="C6" s="28" t="n">
        <f aca="false">SUMIFS('Answer Key'!$G$5:$G$577,'Answer Key'!$I$5:$I$577,$A6,'Answer Key'!$H$5:$H$577,C$4)</f>
        <v>18875900</v>
      </c>
      <c r="D6" s="28" t="n">
        <f aca="false">SUMIFS('Answer Key'!$G$5:$G$577,'Answer Key'!$I$5:$I$577,$A6,'Answer Key'!$H$5:$H$577,D$4)</f>
        <v>25996500</v>
      </c>
      <c r="E6" s="28" t="n">
        <f aca="false">SUMIFS('Answer Key'!$G$5:$G$577,'Answer Key'!$I$5:$I$577,$A6,'Answer Key'!$H$5:$H$577,E$4)</f>
        <v>16819700</v>
      </c>
      <c r="F6" s="28" t="n">
        <f aca="false">SUMIFS('Answer Key'!$G$5:$G$577,'Answer Key'!$I$5:$I$577,$A6,'Answer Key'!$H$5:$H$577,F$4)</f>
        <v>17115500</v>
      </c>
      <c r="G6" s="28" t="n">
        <f aca="false">SUMIFS('Answer Key'!$G$5:$G$577,'Answer Key'!$I$5:$I$577,$A6,'Answer Key'!$H$5:$H$577,G$4)</f>
        <v>22872800</v>
      </c>
      <c r="H6" s="28" t="n">
        <f aca="false">SUMIFS('Answer Key'!$G$5:$G$577,'Answer Key'!$I$5:$I$577,$A6,'Answer Key'!$H$5:$H$577,H$4)</f>
        <v>18537300</v>
      </c>
      <c r="I6" s="28" t="n">
        <f aca="false">SUMIFS('Answer Key'!$G$5:$G$577,'Answer Key'!$I$5:$I$577,$A6,'Answer Key'!$H$5:$H$577,I$4)</f>
        <v>26808600</v>
      </c>
      <c r="J6" s="28" t="n">
        <f aca="false">SUMIFS('Answer Key'!$G$5:$G$577,'Answer Key'!$I$5:$I$577,$A6,'Answer Key'!$H$5:$H$577,J$4)</f>
        <v>25182000</v>
      </c>
      <c r="K6" s="28" t="n">
        <f aca="false">SUMIFS('Answer Key'!$G$5:$G$577,'Answer Key'!$I$5:$I$577,$A6,'Answer Key'!$H$5:$H$577,K$4)</f>
        <v>28472100</v>
      </c>
      <c r="L6" s="28" t="n">
        <f aca="false">SUMIFS('Answer Key'!$G$5:$G$577,'Answer Key'!$I$5:$I$577,$A6,'Answer Key'!$H$5:$H$577,L$4)</f>
        <v>19145400</v>
      </c>
      <c r="M6" s="28" t="n">
        <f aca="false">SUMIFS('Answer Key'!$G$5:$G$577,'Answer Key'!$I$5:$I$577,$A6,'Answer Key'!$H$5:$H$577,M$4)</f>
        <v>29653900</v>
      </c>
      <c r="N6" s="28" t="n">
        <f aca="false">SUMIFS('Answer Key'!$G$5:$G$577,'Answer Key'!$I$5:$I$577,$A6,'Answer Key'!$H$5:$H$577,N$4)</f>
        <v>31294800</v>
      </c>
      <c r="O6" s="29" t="n">
        <f aca="false">SUM(C6:N6)</f>
        <v>280774500</v>
      </c>
    </row>
    <row r="7" customFormat="false" ht="15" hidden="false" customHeight="false" outlineLevel="0" collapsed="false">
      <c r="A7" s="3" t="s">
        <v>1886</v>
      </c>
      <c r="B7" s="3" t="s">
        <v>1883</v>
      </c>
      <c r="C7" s="28" t="n">
        <f aca="false">SUMIFS('Answer Key'!$G$5:$G$577,'Answer Key'!$I$5:$I$577,$A7,'Answer Key'!$H$5:$H$577,C$4)</f>
        <v>5374492.1</v>
      </c>
      <c r="D7" s="28" t="n">
        <f aca="false">SUMIFS('Answer Key'!$G$5:$G$577,'Answer Key'!$I$5:$I$577,$A7,'Answer Key'!$H$5:$H$577,D$4)</f>
        <v>5477192.85</v>
      </c>
      <c r="E7" s="28" t="n">
        <f aca="false">SUMIFS('Answer Key'!$G$5:$G$577,'Answer Key'!$I$5:$I$577,$A7,'Answer Key'!$H$5:$H$577,E$4)</f>
        <v>6448886.25</v>
      </c>
      <c r="F7" s="28" t="n">
        <f aca="false">SUMIFS('Answer Key'!$G$5:$G$577,'Answer Key'!$I$5:$I$577,$A7,'Answer Key'!$H$5:$H$577,F$4)</f>
        <v>5431331.55</v>
      </c>
      <c r="G7" s="28" t="n">
        <f aca="false">SUMIFS('Answer Key'!$G$5:$G$577,'Answer Key'!$I$5:$I$577,$A7,'Answer Key'!$H$5:$H$577,G$4)</f>
        <v>5108676.72</v>
      </c>
      <c r="H7" s="28" t="n">
        <f aca="false">SUMIFS('Answer Key'!$G$5:$G$577,'Answer Key'!$I$5:$I$577,$A7,'Answer Key'!$H$5:$H$577,H$4)</f>
        <v>4764409.39</v>
      </c>
      <c r="I7" s="28" t="n">
        <f aca="false">SUMIFS('Answer Key'!$G$5:$G$577,'Answer Key'!$I$5:$I$577,$A7,'Answer Key'!$H$5:$H$577,I$4)</f>
        <v>4588456.79</v>
      </c>
      <c r="J7" s="28" t="n">
        <f aca="false">SUMIFS('Answer Key'!$G$5:$G$577,'Answer Key'!$I$5:$I$577,$A7,'Answer Key'!$H$5:$H$577,J$4)</f>
        <v>5948416.83</v>
      </c>
      <c r="K7" s="28" t="n">
        <f aca="false">SUMIFS('Answer Key'!$G$5:$G$577,'Answer Key'!$I$5:$I$577,$A7,'Answer Key'!$H$5:$H$577,K$4)</f>
        <v>5847244.64</v>
      </c>
      <c r="L7" s="28" t="n">
        <f aca="false">SUMIFS('Answer Key'!$G$5:$G$577,'Answer Key'!$I$5:$I$577,$A7,'Answer Key'!$H$5:$H$577,L$4)</f>
        <v>6902369.64</v>
      </c>
      <c r="M7" s="28" t="n">
        <f aca="false">SUMIFS('Answer Key'!$G$5:$G$577,'Answer Key'!$I$5:$I$577,$A7,'Answer Key'!$H$5:$H$577,M$4)</f>
        <v>7035712.87</v>
      </c>
      <c r="N7" s="28" t="n">
        <f aca="false">SUMIFS('Answer Key'!$G$5:$G$577,'Answer Key'!$I$5:$I$577,$A7,'Answer Key'!$H$5:$H$577,N$4)</f>
        <v>7171435.44</v>
      </c>
      <c r="O7" s="29" t="n">
        <f aca="false">SUM(C7:N7)</f>
        <v>70098625.07</v>
      </c>
    </row>
    <row r="8" customFormat="false" ht="15" hidden="false" customHeight="false" outlineLevel="0" collapsed="false">
      <c r="A8" s="3" t="s">
        <v>1891</v>
      </c>
      <c r="B8" s="3" t="s">
        <v>1883</v>
      </c>
      <c r="C8" s="28" t="n">
        <f aca="false">SUMIFS('Answer Key'!$G$5:$G$577,'Answer Key'!$I$5:$I$577,$A8,'Answer Key'!$H$5:$H$577,C$4)</f>
        <v>1395882.87</v>
      </c>
      <c r="D8" s="28" t="n">
        <f aca="false">SUMIFS('Answer Key'!$G$5:$G$577,'Answer Key'!$I$5:$I$577,$A8,'Answer Key'!$H$5:$H$577,D$4)</f>
        <v>1411032.83</v>
      </c>
      <c r="E8" s="28" t="n">
        <f aca="false">SUMIFS('Answer Key'!$G$5:$G$577,'Answer Key'!$I$5:$I$577,$A8,'Answer Key'!$H$5:$H$577,E$4)</f>
        <v>1456829.62</v>
      </c>
      <c r="F8" s="28" t="n">
        <f aca="false">SUMIFS('Answer Key'!$G$5:$G$577,'Answer Key'!$I$5:$I$577,$A8,'Answer Key'!$H$5:$H$577,F$4)</f>
        <v>1634876.24</v>
      </c>
      <c r="G8" s="28" t="n">
        <f aca="false">SUMIFS('Answer Key'!$G$5:$G$577,'Answer Key'!$I$5:$I$577,$A8,'Answer Key'!$H$5:$H$577,G$4)</f>
        <v>1402872.94</v>
      </c>
      <c r="H8" s="28" t="n">
        <f aca="false">SUMIFS('Answer Key'!$G$5:$G$577,'Answer Key'!$I$5:$I$577,$A8,'Answer Key'!$H$5:$H$577,H$4)</f>
        <v>1274046.92</v>
      </c>
      <c r="I8" s="28" t="n">
        <f aca="false">SUMIFS('Answer Key'!$G$5:$G$577,'Answer Key'!$I$5:$I$577,$A8,'Answer Key'!$H$5:$H$577,I$4)</f>
        <v>881111.61</v>
      </c>
      <c r="J8" s="28" t="n">
        <f aca="false">SUMIFS('Answer Key'!$G$5:$G$577,'Answer Key'!$I$5:$I$577,$A8,'Answer Key'!$H$5:$H$577,J$4)</f>
        <v>1515401.45</v>
      </c>
      <c r="K8" s="28" t="n">
        <f aca="false">SUMIFS('Answer Key'!$G$5:$G$577,'Answer Key'!$I$5:$I$577,$A8,'Answer Key'!$H$5:$H$577,K$4)</f>
        <v>1785227.3</v>
      </c>
      <c r="L8" s="28" t="n">
        <f aca="false">SUMIFS('Answer Key'!$G$5:$G$577,'Answer Key'!$I$5:$I$577,$A8,'Answer Key'!$H$5:$H$577,L$4)</f>
        <v>1696299.57</v>
      </c>
      <c r="M8" s="28" t="n">
        <f aca="false">SUMIFS('Answer Key'!$G$5:$G$577,'Answer Key'!$I$5:$I$577,$A8,'Answer Key'!$H$5:$H$577,M$4)</f>
        <v>1300106.34</v>
      </c>
      <c r="N8" s="28" t="n">
        <f aca="false">SUMIFS('Answer Key'!$G$5:$G$577,'Answer Key'!$I$5:$I$577,$A8,'Answer Key'!$H$5:$H$577,N$4)</f>
        <v>2772014.2</v>
      </c>
      <c r="O8" s="29" t="n">
        <f aca="false">SUM(C8:N8)</f>
        <v>18525701.89</v>
      </c>
    </row>
    <row r="9" customFormat="false" ht="15" hidden="false" customHeight="false" outlineLevel="0" collapsed="false">
      <c r="A9" s="3" t="s">
        <v>1895</v>
      </c>
      <c r="B9" s="3" t="s">
        <v>1883</v>
      </c>
      <c r="C9" s="28" t="n">
        <f aca="false">SUMIFS('Answer Key'!$G$5:$G$577,'Answer Key'!$I$5:$I$577,$A9,'Answer Key'!$H$5:$H$577,C$4)</f>
        <v>2494622.44</v>
      </c>
      <c r="D9" s="28" t="n">
        <f aca="false">SUMIFS('Answer Key'!$G$5:$G$577,'Answer Key'!$I$5:$I$577,$A9,'Answer Key'!$H$5:$H$577,D$4)</f>
        <v>3277878.86</v>
      </c>
      <c r="E9" s="28" t="n">
        <f aca="false">SUMIFS('Answer Key'!$G$5:$G$577,'Answer Key'!$I$5:$I$577,$A9,'Answer Key'!$H$5:$H$577,E$4)</f>
        <v>3337495.24</v>
      </c>
      <c r="F9" s="28" t="n">
        <f aca="false">SUMIFS('Answer Key'!$G$5:$G$577,'Answer Key'!$I$5:$I$577,$A9,'Answer Key'!$H$5:$H$577,F$4)</f>
        <v>2514041.03</v>
      </c>
      <c r="G9" s="28" t="n">
        <f aca="false">SUMIFS('Answer Key'!$G$5:$G$577,'Answer Key'!$I$5:$I$577,$A9,'Answer Key'!$H$5:$H$577,G$4)</f>
        <v>2165363.2</v>
      </c>
      <c r="H9" s="28" t="n">
        <f aca="false">SUMIFS('Answer Key'!$G$5:$G$577,'Answer Key'!$I$5:$I$577,$A9,'Answer Key'!$H$5:$H$577,H$4)</f>
        <v>2700062.92</v>
      </c>
      <c r="I9" s="28" t="n">
        <f aca="false">SUMIFS('Answer Key'!$G$5:$G$577,'Answer Key'!$I$5:$I$577,$A9,'Answer Key'!$H$5:$H$577,I$4)</f>
        <v>2879621.59</v>
      </c>
      <c r="J9" s="28" t="n">
        <f aca="false">SUMIFS('Answer Key'!$G$5:$G$577,'Answer Key'!$I$5:$I$577,$A9,'Answer Key'!$H$5:$H$577,J$4)</f>
        <v>2815386.13</v>
      </c>
      <c r="K9" s="28" t="n">
        <f aca="false">SUMIFS('Answer Key'!$G$5:$G$577,'Answer Key'!$I$5:$I$577,$A9,'Answer Key'!$H$5:$H$577,K$4)</f>
        <v>2874188.05</v>
      </c>
      <c r="L9" s="28" t="n">
        <f aca="false">SUMIFS('Answer Key'!$G$5:$G$577,'Answer Key'!$I$5:$I$577,$A9,'Answer Key'!$H$5:$H$577,L$4)</f>
        <v>4314394.2</v>
      </c>
      <c r="M9" s="28" t="n">
        <f aca="false">SUMIFS('Answer Key'!$G$5:$G$577,'Answer Key'!$I$5:$I$577,$A9,'Answer Key'!$H$5:$H$577,M$4)</f>
        <v>1945855.02</v>
      </c>
      <c r="N9" s="28" t="n">
        <f aca="false">SUMIFS('Answer Key'!$G$5:$G$577,'Answer Key'!$I$5:$I$577,$A9,'Answer Key'!$H$5:$H$577,N$4)</f>
        <v>3729256.01</v>
      </c>
      <c r="O9" s="29" t="n">
        <f aca="false">SUM(C9:N9)</f>
        <v>35048164.69</v>
      </c>
    </row>
    <row r="10" customFormat="false" ht="15" hidden="false" customHeight="false" outlineLevel="0" collapsed="false">
      <c r="A10" s="3" t="s">
        <v>1964</v>
      </c>
      <c r="B10" s="3" t="s">
        <v>1883</v>
      </c>
      <c r="C10" s="28" t="n">
        <f aca="false">SUMIFS('Answer Key'!$G$5:$G$577,'Answer Key'!$I$5:$I$577,$A10,'Answer Key'!$H$5:$H$577,C$4)</f>
        <v>0</v>
      </c>
      <c r="D10" s="28" t="n">
        <f aca="false">SUMIFS('Answer Key'!$G$5:$G$577,'Answer Key'!$I$5:$I$577,$A10,'Answer Key'!$H$5:$H$577,D$4)</f>
        <v>0</v>
      </c>
      <c r="E10" s="28" t="n">
        <f aca="false">SUMIFS('Answer Key'!$G$5:$G$577,'Answer Key'!$I$5:$I$577,$A10,'Answer Key'!$H$5:$H$577,E$4)</f>
        <v>0</v>
      </c>
      <c r="F10" s="28" t="n">
        <f aca="false">SUMIFS('Answer Key'!$G$5:$G$577,'Answer Key'!$I$5:$I$577,$A10,'Answer Key'!$H$5:$H$577,F$4)</f>
        <v>0</v>
      </c>
      <c r="G10" s="28" t="n">
        <f aca="false">SUMIFS('Answer Key'!$G$5:$G$577,'Answer Key'!$I$5:$I$577,$A10,'Answer Key'!$H$5:$H$577,G$4)</f>
        <v>0</v>
      </c>
      <c r="H10" s="28" t="n">
        <f aca="false">SUMIFS('Answer Key'!$G$5:$G$577,'Answer Key'!$I$5:$I$577,$A10,'Answer Key'!$H$5:$H$577,H$4)</f>
        <v>0</v>
      </c>
      <c r="I10" s="28" t="n">
        <f aca="false">SUMIFS('Answer Key'!$G$5:$G$577,'Answer Key'!$I$5:$I$577,$A10,'Answer Key'!$H$5:$H$577,I$4)</f>
        <v>0</v>
      </c>
      <c r="J10" s="28" t="n">
        <f aca="false">SUMIFS('Answer Key'!$G$5:$G$577,'Answer Key'!$I$5:$I$577,$A10,'Answer Key'!$H$5:$H$577,J$4)</f>
        <v>2100000</v>
      </c>
      <c r="K10" s="28" t="n">
        <f aca="false">SUMIFS('Answer Key'!$G$5:$G$577,'Answer Key'!$I$5:$I$577,$A10,'Answer Key'!$H$5:$H$577,K$4)</f>
        <v>0</v>
      </c>
      <c r="L10" s="28" t="n">
        <f aca="false">SUMIFS('Answer Key'!$G$5:$G$577,'Answer Key'!$I$5:$I$577,$A10,'Answer Key'!$H$5:$H$577,L$4)</f>
        <v>0</v>
      </c>
      <c r="M10" s="28" t="n">
        <f aca="false">SUMIFS('Answer Key'!$G$5:$G$577,'Answer Key'!$I$5:$I$577,$A10,'Answer Key'!$H$5:$H$577,M$4)</f>
        <v>0</v>
      </c>
      <c r="N10" s="28" t="n">
        <f aca="false">SUMIFS('Answer Key'!$G$5:$G$577,'Answer Key'!$I$5:$I$577,$A10,'Answer Key'!$H$5:$H$577,N$4)</f>
        <v>0</v>
      </c>
      <c r="O10" s="29" t="n">
        <f aca="false">SUM(C10:N10)</f>
        <v>2100000</v>
      </c>
    </row>
    <row r="11" customFormat="false" ht="15" hidden="false" customHeight="false" outlineLevel="0" collapsed="false">
      <c r="A11" s="3" t="s">
        <v>1947</v>
      </c>
      <c r="B11" s="3" t="s">
        <v>1883</v>
      </c>
      <c r="C11" s="28" t="n">
        <f aca="false">SUMIFS('Answer Key'!$G$5:$G$577,'Answer Key'!$I$5:$I$577,$A11,'Answer Key'!$H$5:$H$577,C$4)</f>
        <v>0</v>
      </c>
      <c r="D11" s="28" t="n">
        <f aca="false">SUMIFS('Answer Key'!$G$5:$G$577,'Answer Key'!$I$5:$I$577,$A11,'Answer Key'!$H$5:$H$577,D$4)</f>
        <v>0</v>
      </c>
      <c r="E11" s="28" t="n">
        <f aca="false">SUMIFS('Answer Key'!$G$5:$G$577,'Answer Key'!$I$5:$I$577,$A11,'Answer Key'!$H$5:$H$577,E$4)</f>
        <v>0</v>
      </c>
      <c r="F11" s="28" t="n">
        <f aca="false">SUMIFS('Answer Key'!$G$5:$G$577,'Answer Key'!$I$5:$I$577,$A11,'Answer Key'!$H$5:$H$577,F$4)</f>
        <v>0</v>
      </c>
      <c r="G11" s="28" t="n">
        <f aca="false">SUMIFS('Answer Key'!$G$5:$G$577,'Answer Key'!$I$5:$I$577,$A11,'Answer Key'!$H$5:$H$577,G$4)</f>
        <v>320000</v>
      </c>
      <c r="H11" s="28" t="n">
        <f aca="false">SUMIFS('Answer Key'!$G$5:$G$577,'Answer Key'!$I$5:$I$577,$A11,'Answer Key'!$H$5:$H$577,H$4)</f>
        <v>0</v>
      </c>
      <c r="I11" s="28" t="n">
        <f aca="false">SUMIFS('Answer Key'!$G$5:$G$577,'Answer Key'!$I$5:$I$577,$A11,'Answer Key'!$H$5:$H$577,I$4)</f>
        <v>0</v>
      </c>
      <c r="J11" s="28" t="n">
        <f aca="false">SUMIFS('Answer Key'!$G$5:$G$577,'Answer Key'!$I$5:$I$577,$A11,'Answer Key'!$H$5:$H$577,J$4)</f>
        <v>0</v>
      </c>
      <c r="K11" s="28" t="n">
        <f aca="false">SUMIFS('Answer Key'!$G$5:$G$577,'Answer Key'!$I$5:$I$577,$A11,'Answer Key'!$H$5:$H$577,K$4)</f>
        <v>0</v>
      </c>
      <c r="L11" s="28" t="n">
        <f aca="false">SUMIFS('Answer Key'!$G$5:$G$577,'Answer Key'!$I$5:$I$577,$A11,'Answer Key'!$H$5:$H$577,L$4)</f>
        <v>0</v>
      </c>
      <c r="M11" s="28" t="n">
        <f aca="false">SUMIFS('Answer Key'!$G$5:$G$577,'Answer Key'!$I$5:$I$577,$A11,'Answer Key'!$H$5:$H$577,M$4)</f>
        <v>0</v>
      </c>
      <c r="N11" s="28" t="n">
        <f aca="false">SUMIFS('Answer Key'!$G$5:$G$577,'Answer Key'!$I$5:$I$577,$A11,'Answer Key'!$H$5:$H$577,N$4)</f>
        <v>0</v>
      </c>
      <c r="O11" s="29" t="n">
        <f aca="false">SUM(C11:N11)</f>
        <v>320000</v>
      </c>
    </row>
    <row r="12" customFormat="false" ht="15" hidden="false" customHeight="false" outlineLevel="0" collapsed="false">
      <c r="A12" s="3" t="s">
        <v>1938</v>
      </c>
      <c r="B12" s="3" t="s">
        <v>1883</v>
      </c>
      <c r="C12" s="28" t="n">
        <f aca="false">SUMIFS('Answer Key'!$G$5:$G$577,'Answer Key'!$I$5:$I$577,$A12,'Answer Key'!$H$5:$H$577,C$4)</f>
        <v>0</v>
      </c>
      <c r="D12" s="28" t="n">
        <f aca="false">SUMIFS('Answer Key'!$G$5:$G$577,'Answer Key'!$I$5:$I$577,$A12,'Answer Key'!$H$5:$H$577,D$4)</f>
        <v>0</v>
      </c>
      <c r="E12" s="28" t="n">
        <f aca="false">SUMIFS('Answer Key'!$G$5:$G$577,'Answer Key'!$I$5:$I$577,$A12,'Answer Key'!$H$5:$H$577,E$4)</f>
        <v>50923.89</v>
      </c>
      <c r="F12" s="28" t="n">
        <f aca="false">SUMIFS('Answer Key'!$G$5:$G$577,'Answer Key'!$I$5:$I$577,$A12,'Answer Key'!$H$5:$H$577,F$4)</f>
        <v>0</v>
      </c>
      <c r="G12" s="28" t="n">
        <f aca="false">SUMIFS('Answer Key'!$G$5:$G$577,'Answer Key'!$I$5:$I$577,$A12,'Answer Key'!$H$5:$H$577,G$4)</f>
        <v>0</v>
      </c>
      <c r="H12" s="28" t="n">
        <f aca="false">SUMIFS('Answer Key'!$G$5:$G$577,'Answer Key'!$I$5:$I$577,$A12,'Answer Key'!$H$5:$H$577,H$4)</f>
        <v>37770.74</v>
      </c>
      <c r="I12" s="28" t="n">
        <f aca="false">SUMIFS('Answer Key'!$G$5:$G$577,'Answer Key'!$I$5:$I$577,$A12,'Answer Key'!$H$5:$H$577,I$4)</f>
        <v>0</v>
      </c>
      <c r="J12" s="28" t="n">
        <f aca="false">SUMIFS('Answer Key'!$G$5:$G$577,'Answer Key'!$I$5:$I$577,$A12,'Answer Key'!$H$5:$H$577,J$4)</f>
        <v>0</v>
      </c>
      <c r="K12" s="28" t="n">
        <f aca="false">SUMIFS('Answer Key'!$G$5:$G$577,'Answer Key'!$I$5:$I$577,$A12,'Answer Key'!$H$5:$H$577,K$4)</f>
        <v>44903.69</v>
      </c>
      <c r="L12" s="28" t="n">
        <f aca="false">SUMIFS('Answer Key'!$G$5:$G$577,'Answer Key'!$I$5:$I$577,$A12,'Answer Key'!$H$5:$H$577,L$4)</f>
        <v>0</v>
      </c>
      <c r="M12" s="28" t="n">
        <f aca="false">SUMIFS('Answer Key'!$G$5:$G$577,'Answer Key'!$I$5:$I$577,$A12,'Answer Key'!$H$5:$H$577,M$4)</f>
        <v>0</v>
      </c>
      <c r="N12" s="28" t="n">
        <f aca="false">SUMIFS('Answer Key'!$G$5:$G$577,'Answer Key'!$I$5:$I$577,$A12,'Answer Key'!$H$5:$H$577,N$4)</f>
        <v>40607.24</v>
      </c>
      <c r="O12" s="29" t="n">
        <f aca="false">SUM(C12:N12)</f>
        <v>174205.56</v>
      </c>
    </row>
    <row r="13" customFormat="false" ht="15" hidden="false" customHeight="false" outlineLevel="0" collapsed="false">
      <c r="A13" s="3" t="s">
        <v>1966</v>
      </c>
      <c r="B13" s="3" t="s">
        <v>1883</v>
      </c>
      <c r="C13" s="28" t="n">
        <f aca="false">SUMIFS('Answer Key'!$G$5:$G$577,'Answer Key'!$I$5:$I$577,$A13,'Answer Key'!$H$5:$H$577,C$4)</f>
        <v>0</v>
      </c>
      <c r="D13" s="28" t="n">
        <f aca="false">SUMIFS('Answer Key'!$G$5:$G$577,'Answer Key'!$I$5:$I$577,$A13,'Answer Key'!$H$5:$H$577,D$4)</f>
        <v>0</v>
      </c>
      <c r="E13" s="28" t="n">
        <f aca="false">SUMIFS('Answer Key'!$G$5:$G$577,'Answer Key'!$I$5:$I$577,$A13,'Answer Key'!$H$5:$H$577,E$4)</f>
        <v>0</v>
      </c>
      <c r="F13" s="28" t="n">
        <f aca="false">SUMIFS('Answer Key'!$G$5:$G$577,'Answer Key'!$I$5:$I$577,$A13,'Answer Key'!$H$5:$H$577,F$4)</f>
        <v>0</v>
      </c>
      <c r="G13" s="28" t="n">
        <f aca="false">SUMIFS('Answer Key'!$G$5:$G$577,'Answer Key'!$I$5:$I$577,$A13,'Answer Key'!$H$5:$H$577,G$4)</f>
        <v>0</v>
      </c>
      <c r="H13" s="28" t="n">
        <f aca="false">SUMIFS('Answer Key'!$G$5:$G$577,'Answer Key'!$I$5:$I$577,$A13,'Answer Key'!$H$5:$H$577,H$4)</f>
        <v>0</v>
      </c>
      <c r="I13" s="28" t="n">
        <f aca="false">SUMIFS('Answer Key'!$G$5:$G$577,'Answer Key'!$I$5:$I$577,$A13,'Answer Key'!$H$5:$H$577,I$4)</f>
        <v>0</v>
      </c>
      <c r="J13" s="28" t="n">
        <f aca="false">SUMIFS('Answer Key'!$G$5:$G$577,'Answer Key'!$I$5:$I$577,$A13,'Answer Key'!$H$5:$H$577,J$4)</f>
        <v>-2100000</v>
      </c>
      <c r="K13" s="28" t="n">
        <f aca="false">SUMIFS('Answer Key'!$G$5:$G$577,'Answer Key'!$I$5:$I$577,$A13,'Answer Key'!$H$5:$H$577,K$4)</f>
        <v>0</v>
      </c>
      <c r="L13" s="28" t="n">
        <f aca="false">SUMIFS('Answer Key'!$G$5:$G$577,'Answer Key'!$I$5:$I$577,$A13,'Answer Key'!$H$5:$H$577,L$4)</f>
        <v>0</v>
      </c>
      <c r="M13" s="28" t="n">
        <f aca="false">SUMIFS('Answer Key'!$G$5:$G$577,'Answer Key'!$I$5:$I$577,$A13,'Answer Key'!$H$5:$H$577,M$4)</f>
        <v>0</v>
      </c>
      <c r="N13" s="28" t="n">
        <f aca="false">SUMIFS('Answer Key'!$G$5:$G$577,'Answer Key'!$I$5:$I$577,$A13,'Answer Key'!$H$5:$H$577,N$4)</f>
        <v>0</v>
      </c>
      <c r="O13" s="29" t="n">
        <f aca="false">SUM(C13:N13)</f>
        <v>-2100000</v>
      </c>
    </row>
    <row r="14" customFormat="false" ht="15" hidden="false" customHeight="false" outlineLevel="0" collapsed="false">
      <c r="A14" s="3" t="s">
        <v>1899</v>
      </c>
      <c r="B14" s="3" t="s">
        <v>1883</v>
      </c>
      <c r="C14" s="28" t="n">
        <f aca="false">SUMIFS('Answer Key'!$G$5:$G$577,'Answer Key'!$I$5:$I$577,$A14,'Answer Key'!$H$5:$H$577,C$4)</f>
        <v>-10367600</v>
      </c>
      <c r="D14" s="28" t="n">
        <f aca="false">SUMIFS('Answer Key'!$G$5:$G$577,'Answer Key'!$I$5:$I$577,$A14,'Answer Key'!$H$5:$H$577,D$4)</f>
        <v>-5945700</v>
      </c>
      <c r="E14" s="28" t="n">
        <f aca="false">SUMIFS('Answer Key'!$G$5:$G$577,'Answer Key'!$I$5:$I$577,$A14,'Answer Key'!$H$5:$H$577,E$4)</f>
        <v>-4737300</v>
      </c>
      <c r="F14" s="28" t="n">
        <f aca="false">SUMIFS('Answer Key'!$G$5:$G$577,'Answer Key'!$I$5:$I$577,$A14,'Answer Key'!$H$5:$H$577,F$4)</f>
        <v>-15913300</v>
      </c>
      <c r="G14" s="28" t="n">
        <f aca="false">SUMIFS('Answer Key'!$G$5:$G$577,'Answer Key'!$I$5:$I$577,$A14,'Answer Key'!$H$5:$H$577,G$4)</f>
        <v>-9956500</v>
      </c>
      <c r="H14" s="28" t="n">
        <f aca="false">SUMIFS('Answer Key'!$G$5:$G$577,'Answer Key'!$I$5:$I$577,$A14,'Answer Key'!$H$5:$H$577,H$4)</f>
        <v>-13118500</v>
      </c>
      <c r="I14" s="28" t="n">
        <f aca="false">SUMIFS('Answer Key'!$G$5:$G$577,'Answer Key'!$I$5:$I$577,$A14,'Answer Key'!$H$5:$H$577,I$4)</f>
        <v>-9964800</v>
      </c>
      <c r="J14" s="28" t="n">
        <f aca="false">SUMIFS('Answer Key'!$G$5:$G$577,'Answer Key'!$I$5:$I$577,$A14,'Answer Key'!$H$5:$H$577,J$4)</f>
        <v>-17110300</v>
      </c>
      <c r="K14" s="28" t="n">
        <f aca="false">SUMIFS('Answer Key'!$G$5:$G$577,'Answer Key'!$I$5:$I$577,$A14,'Answer Key'!$H$5:$H$577,K$4)</f>
        <v>-9778800</v>
      </c>
      <c r="L14" s="28" t="n">
        <f aca="false">SUMIFS('Answer Key'!$G$5:$G$577,'Answer Key'!$I$5:$I$577,$A14,'Answer Key'!$H$5:$H$577,L$4)</f>
        <v>-13752100</v>
      </c>
      <c r="M14" s="28" t="n">
        <f aca="false">SUMIFS('Answer Key'!$G$5:$G$577,'Answer Key'!$I$5:$I$577,$A14,'Answer Key'!$H$5:$H$577,M$4)</f>
        <v>-9678200</v>
      </c>
      <c r="N14" s="28" t="n">
        <f aca="false">SUMIFS('Answer Key'!$G$5:$G$577,'Answer Key'!$I$5:$I$577,$A14,'Answer Key'!$H$5:$H$577,N$4)</f>
        <v>-11858300</v>
      </c>
      <c r="O14" s="29" t="n">
        <f aca="false">SUM(C14:N14)</f>
        <v>-132181400</v>
      </c>
    </row>
    <row r="15" customFormat="false" ht="15" hidden="false" customHeight="false" outlineLevel="0" collapsed="false">
      <c r="A15" s="3" t="s">
        <v>1976</v>
      </c>
      <c r="B15" s="3" t="s">
        <v>1883</v>
      </c>
      <c r="C15" s="28" t="n">
        <f aca="false">SUMIFS('Answer Key'!$G$5:$G$577,'Answer Key'!$I$5:$I$577,$A15,'Answer Key'!$H$5:$H$577,C$4)</f>
        <v>0</v>
      </c>
      <c r="D15" s="28" t="n">
        <f aca="false">SUMIFS('Answer Key'!$G$5:$G$577,'Answer Key'!$I$5:$I$577,$A15,'Answer Key'!$H$5:$H$577,D$4)</f>
        <v>0</v>
      </c>
      <c r="E15" s="28" t="n">
        <f aca="false">SUMIFS('Answer Key'!$G$5:$G$577,'Answer Key'!$I$5:$I$577,$A15,'Answer Key'!$H$5:$H$577,E$4)</f>
        <v>0</v>
      </c>
      <c r="F15" s="28" t="n">
        <f aca="false">SUMIFS('Answer Key'!$G$5:$G$577,'Answer Key'!$I$5:$I$577,$A15,'Answer Key'!$H$5:$H$577,F$4)</f>
        <v>0</v>
      </c>
      <c r="G15" s="28" t="n">
        <f aca="false">SUMIFS('Answer Key'!$G$5:$G$577,'Answer Key'!$I$5:$I$577,$A15,'Answer Key'!$H$5:$H$577,G$4)</f>
        <v>0</v>
      </c>
      <c r="H15" s="28" t="n">
        <f aca="false">SUMIFS('Answer Key'!$G$5:$G$577,'Answer Key'!$I$5:$I$577,$A15,'Answer Key'!$H$5:$H$577,H$4)</f>
        <v>0</v>
      </c>
      <c r="I15" s="28" t="n">
        <f aca="false">SUMIFS('Answer Key'!$G$5:$G$577,'Answer Key'!$I$5:$I$577,$A15,'Answer Key'!$H$5:$H$577,I$4)</f>
        <v>0</v>
      </c>
      <c r="J15" s="28" t="n">
        <f aca="false">SUMIFS('Answer Key'!$G$5:$G$577,'Answer Key'!$I$5:$I$577,$A15,'Answer Key'!$H$5:$H$577,J$4)</f>
        <v>0</v>
      </c>
      <c r="K15" s="28" t="n">
        <f aca="false">SUMIFS('Answer Key'!$G$5:$G$577,'Answer Key'!$I$5:$I$577,$A15,'Answer Key'!$H$5:$H$577,K$4)</f>
        <v>0</v>
      </c>
      <c r="L15" s="28" t="n">
        <f aca="false">SUMIFS('Answer Key'!$G$5:$G$577,'Answer Key'!$I$5:$I$577,$A15,'Answer Key'!$H$5:$H$577,L$4)</f>
        <v>0</v>
      </c>
      <c r="M15" s="28" t="n">
        <f aca="false">SUMIFS('Answer Key'!$G$5:$G$577,'Answer Key'!$I$5:$I$577,$A15,'Answer Key'!$H$5:$H$577,M$4)</f>
        <v>-9240000</v>
      </c>
      <c r="N15" s="28" t="n">
        <f aca="false">SUMIFS('Answer Key'!$G$5:$G$577,'Answer Key'!$I$5:$I$577,$A15,'Answer Key'!$H$5:$H$577,N$4)</f>
        <v>0</v>
      </c>
      <c r="O15" s="29" t="n">
        <f aca="false">SUM(C15:N15)</f>
        <v>-9240000</v>
      </c>
    </row>
    <row r="16" customFormat="false" ht="15" hidden="false" customHeight="false" outlineLevel="0" collapsed="false">
      <c r="A16" s="3" t="s">
        <v>1910</v>
      </c>
      <c r="B16" s="3" t="s">
        <v>1883</v>
      </c>
      <c r="C16" s="28" t="n">
        <f aca="false">SUMIFS('Answer Key'!$G$5:$G$577,'Answer Key'!$I$5:$I$577,$A16,'Answer Key'!$H$5:$H$577,C$4)</f>
        <v>-3781200</v>
      </c>
      <c r="D16" s="28" t="n">
        <f aca="false">SUMIFS('Answer Key'!$G$5:$G$577,'Answer Key'!$I$5:$I$577,$A16,'Answer Key'!$H$5:$H$577,D$4)</f>
        <v>-3781200</v>
      </c>
      <c r="E16" s="28" t="n">
        <f aca="false">SUMIFS('Answer Key'!$G$5:$G$577,'Answer Key'!$I$5:$I$577,$A16,'Answer Key'!$H$5:$H$577,E$4)</f>
        <v>-3781200</v>
      </c>
      <c r="F16" s="28" t="n">
        <f aca="false">SUMIFS('Answer Key'!$G$5:$G$577,'Answer Key'!$I$5:$I$577,$A16,'Answer Key'!$H$5:$H$577,F$4)</f>
        <v>-3781200</v>
      </c>
      <c r="G16" s="28" t="n">
        <f aca="false">SUMIFS('Answer Key'!$G$5:$G$577,'Answer Key'!$I$5:$I$577,$A16,'Answer Key'!$H$5:$H$577,G$4)</f>
        <v>-3781200</v>
      </c>
      <c r="H16" s="28" t="n">
        <f aca="false">SUMIFS('Answer Key'!$G$5:$G$577,'Answer Key'!$I$5:$I$577,$A16,'Answer Key'!$H$5:$H$577,H$4)</f>
        <v>-3781200</v>
      </c>
      <c r="I16" s="28" t="n">
        <f aca="false">SUMIFS('Answer Key'!$G$5:$G$577,'Answer Key'!$I$5:$I$577,$A16,'Answer Key'!$H$5:$H$577,I$4)</f>
        <v>-4085300</v>
      </c>
      <c r="J16" s="28" t="n">
        <f aca="false">SUMIFS('Answer Key'!$G$5:$G$577,'Answer Key'!$I$5:$I$577,$A16,'Answer Key'!$H$5:$H$577,J$4)</f>
        <v>-4085300</v>
      </c>
      <c r="K16" s="28" t="n">
        <f aca="false">SUMIFS('Answer Key'!$G$5:$G$577,'Answer Key'!$I$5:$I$577,$A16,'Answer Key'!$H$5:$H$577,K$4)</f>
        <v>-4085300</v>
      </c>
      <c r="L16" s="28" t="n">
        <f aca="false">SUMIFS('Answer Key'!$G$5:$G$577,'Answer Key'!$I$5:$I$577,$A16,'Answer Key'!$H$5:$H$577,L$4)</f>
        <v>-4085300</v>
      </c>
      <c r="M16" s="28" t="n">
        <f aca="false">SUMIFS('Answer Key'!$G$5:$G$577,'Answer Key'!$I$5:$I$577,$A16,'Answer Key'!$H$5:$H$577,M$4)</f>
        <v>-4085300</v>
      </c>
      <c r="N16" s="28" t="n">
        <f aca="false">SUMIFS('Answer Key'!$G$5:$G$577,'Answer Key'!$I$5:$I$577,$A16,'Answer Key'!$H$5:$H$577,N$4)</f>
        <v>-7762100</v>
      </c>
      <c r="O16" s="29" t="n">
        <f aca="false">SUM(C16:N16)</f>
        <v>-50875800</v>
      </c>
    </row>
    <row r="17" customFormat="false" ht="15" hidden="false" customHeight="false" outlineLevel="0" collapsed="false">
      <c r="A17" s="3" t="s">
        <v>1898</v>
      </c>
      <c r="B17" s="3" t="s">
        <v>1883</v>
      </c>
      <c r="C17" s="28" t="n">
        <f aca="false">SUMIFS('Answer Key'!$G$5:$G$577,'Answer Key'!$I$5:$I$577,$A17,'Answer Key'!$H$5:$H$577,C$4)</f>
        <v>-450800</v>
      </c>
      <c r="D17" s="28" t="n">
        <f aca="false">SUMIFS('Answer Key'!$G$5:$G$577,'Answer Key'!$I$5:$I$577,$A17,'Answer Key'!$H$5:$H$577,D$4)</f>
        <v>-450800</v>
      </c>
      <c r="E17" s="28" t="n">
        <f aca="false">SUMIFS('Answer Key'!$G$5:$G$577,'Answer Key'!$I$5:$I$577,$A17,'Answer Key'!$H$5:$H$577,E$4)</f>
        <v>-450800</v>
      </c>
      <c r="F17" s="28" t="n">
        <f aca="false">SUMIFS('Answer Key'!$G$5:$G$577,'Answer Key'!$I$5:$I$577,$A17,'Answer Key'!$H$5:$H$577,F$4)</f>
        <v>-450800</v>
      </c>
      <c r="G17" s="28" t="n">
        <f aca="false">SUMIFS('Answer Key'!$G$5:$G$577,'Answer Key'!$I$5:$I$577,$A17,'Answer Key'!$H$5:$H$577,G$4)</f>
        <v>-450800</v>
      </c>
      <c r="H17" s="28" t="n">
        <f aca="false">SUMIFS('Answer Key'!$G$5:$G$577,'Answer Key'!$I$5:$I$577,$A17,'Answer Key'!$H$5:$H$577,H$4)</f>
        <v>-450800</v>
      </c>
      <c r="I17" s="28" t="n">
        <f aca="false">SUMIFS('Answer Key'!$G$5:$G$577,'Answer Key'!$I$5:$I$577,$A17,'Answer Key'!$H$5:$H$577,I$4)</f>
        <v>-450800</v>
      </c>
      <c r="J17" s="28" t="n">
        <f aca="false">SUMIFS('Answer Key'!$G$5:$G$577,'Answer Key'!$I$5:$I$577,$A17,'Answer Key'!$H$5:$H$577,J$4)</f>
        <v>-487060</v>
      </c>
      <c r="K17" s="28" t="n">
        <f aca="false">SUMIFS('Answer Key'!$G$5:$G$577,'Answer Key'!$I$5:$I$577,$A17,'Answer Key'!$H$5:$H$577,K$4)</f>
        <v>-487060</v>
      </c>
      <c r="L17" s="28" t="n">
        <f aca="false">SUMIFS('Answer Key'!$G$5:$G$577,'Answer Key'!$I$5:$I$577,$A17,'Answer Key'!$H$5:$H$577,L$4)</f>
        <v>-487060</v>
      </c>
      <c r="M17" s="28" t="n">
        <f aca="false">SUMIFS('Answer Key'!$G$5:$G$577,'Answer Key'!$I$5:$I$577,$A17,'Answer Key'!$H$5:$H$577,M$4)</f>
        <v>-487060</v>
      </c>
      <c r="N17" s="28" t="n">
        <f aca="false">SUMIFS('Answer Key'!$G$5:$G$577,'Answer Key'!$I$5:$I$577,$A17,'Answer Key'!$H$5:$H$577,N$4)</f>
        <v>-487060</v>
      </c>
      <c r="O17" s="29" t="n">
        <f aca="false">SUM(C17:N17)</f>
        <v>-5590900</v>
      </c>
    </row>
    <row r="18" customFormat="false" ht="15" hidden="false" customHeight="false" outlineLevel="0" collapsed="false">
      <c r="A18" s="3" t="s">
        <v>1903</v>
      </c>
      <c r="B18" s="3" t="s">
        <v>1883</v>
      </c>
      <c r="C18" s="28" t="n">
        <f aca="false">SUMIFS('Answer Key'!$G$5:$G$577,'Answer Key'!$I$5:$I$577,$A18,'Answer Key'!$H$5:$H$577,C$4)</f>
        <v>-828000</v>
      </c>
      <c r="D18" s="28" t="n">
        <f aca="false">SUMIFS('Answer Key'!$G$5:$G$577,'Answer Key'!$I$5:$I$577,$A18,'Answer Key'!$H$5:$H$577,D$4)</f>
        <v>-828000</v>
      </c>
      <c r="E18" s="28" t="n">
        <f aca="false">SUMIFS('Answer Key'!$G$5:$G$577,'Answer Key'!$I$5:$I$577,$A18,'Answer Key'!$H$5:$H$577,E$4)</f>
        <v>-828000</v>
      </c>
      <c r="F18" s="28" t="n">
        <f aca="false">SUMIFS('Answer Key'!$G$5:$G$577,'Answer Key'!$I$5:$I$577,$A18,'Answer Key'!$H$5:$H$577,F$4)</f>
        <v>-828000</v>
      </c>
      <c r="G18" s="28" t="n">
        <f aca="false">SUMIFS('Answer Key'!$G$5:$G$577,'Answer Key'!$I$5:$I$577,$A18,'Answer Key'!$H$5:$H$577,G$4)</f>
        <v>-828000</v>
      </c>
      <c r="H18" s="28" t="n">
        <f aca="false">SUMIFS('Answer Key'!$G$5:$G$577,'Answer Key'!$I$5:$I$577,$A18,'Answer Key'!$H$5:$H$577,H$4)</f>
        <v>-828000</v>
      </c>
      <c r="I18" s="28" t="n">
        <f aca="false">SUMIFS('Answer Key'!$G$5:$G$577,'Answer Key'!$I$5:$I$577,$A18,'Answer Key'!$H$5:$H$577,I$4)</f>
        <v>-828000</v>
      </c>
      <c r="J18" s="28" t="n">
        <f aca="false">SUMIFS('Answer Key'!$G$5:$G$577,'Answer Key'!$I$5:$I$577,$A18,'Answer Key'!$H$5:$H$577,J$4)</f>
        <v>-894600</v>
      </c>
      <c r="K18" s="28" t="n">
        <f aca="false">SUMIFS('Answer Key'!$G$5:$G$577,'Answer Key'!$I$5:$I$577,$A18,'Answer Key'!$H$5:$H$577,K$4)</f>
        <v>-894600</v>
      </c>
      <c r="L18" s="28" t="n">
        <f aca="false">SUMIFS('Answer Key'!$G$5:$G$577,'Answer Key'!$I$5:$I$577,$A18,'Answer Key'!$H$5:$H$577,L$4)</f>
        <v>-894600</v>
      </c>
      <c r="M18" s="28" t="n">
        <f aca="false">SUMIFS('Answer Key'!$G$5:$G$577,'Answer Key'!$I$5:$I$577,$A18,'Answer Key'!$H$5:$H$577,M$4)</f>
        <v>-894600</v>
      </c>
      <c r="N18" s="28" t="n">
        <f aca="false">SUMIFS('Answer Key'!$G$5:$G$577,'Answer Key'!$I$5:$I$577,$A18,'Answer Key'!$H$5:$H$577,N$4)</f>
        <v>-894600</v>
      </c>
      <c r="O18" s="29" t="n">
        <f aca="false">SUM(C18:N18)</f>
        <v>-10269000</v>
      </c>
    </row>
    <row r="19" customFormat="false" ht="15" hidden="false" customHeight="false" outlineLevel="0" collapsed="false">
      <c r="A19" s="3" t="s">
        <v>1904</v>
      </c>
      <c r="B19" s="3" t="s">
        <v>1883</v>
      </c>
      <c r="C19" s="28" t="n">
        <f aca="false">SUMIFS('Answer Key'!$G$5:$G$577,'Answer Key'!$I$5:$I$577,$A19,'Answer Key'!$H$5:$H$577,C$4)</f>
        <v>-865116.28</v>
      </c>
      <c r="D19" s="28" t="n">
        <f aca="false">SUMIFS('Answer Key'!$G$5:$G$577,'Answer Key'!$I$5:$I$577,$A19,'Answer Key'!$H$5:$H$577,D$4)</f>
        <v>-1217257.42</v>
      </c>
      <c r="E19" s="28" t="n">
        <f aca="false">SUMIFS('Answer Key'!$G$5:$G$577,'Answer Key'!$I$5:$I$577,$A19,'Answer Key'!$H$5:$H$577,E$4)</f>
        <v>-1564242.89</v>
      </c>
      <c r="F19" s="28" t="n">
        <f aca="false">SUMIFS('Answer Key'!$G$5:$G$577,'Answer Key'!$I$5:$I$577,$A19,'Answer Key'!$H$5:$H$577,F$4)</f>
        <v>-1160030.57</v>
      </c>
      <c r="G19" s="28" t="n">
        <f aca="false">SUMIFS('Answer Key'!$G$5:$G$577,'Answer Key'!$I$5:$I$577,$A19,'Answer Key'!$H$5:$H$577,G$4)</f>
        <v>-1154746.34</v>
      </c>
      <c r="H19" s="28" t="n">
        <f aca="false">SUMIFS('Answer Key'!$G$5:$G$577,'Answer Key'!$I$5:$I$577,$A19,'Answer Key'!$H$5:$H$577,H$4)</f>
        <v>-1157080.6</v>
      </c>
      <c r="I19" s="28" t="n">
        <f aca="false">SUMIFS('Answer Key'!$G$5:$G$577,'Answer Key'!$I$5:$I$577,$A19,'Answer Key'!$H$5:$H$577,I$4)</f>
        <v>-1179837.76</v>
      </c>
      <c r="J19" s="28" t="n">
        <f aca="false">SUMIFS('Answer Key'!$G$5:$G$577,'Answer Key'!$I$5:$I$577,$A19,'Answer Key'!$H$5:$H$577,J$4)</f>
        <v>-1520778.82</v>
      </c>
      <c r="K19" s="28" t="n">
        <f aca="false">SUMIFS('Answer Key'!$G$5:$G$577,'Answer Key'!$I$5:$I$577,$A19,'Answer Key'!$H$5:$H$577,K$4)</f>
        <v>-1533903.26</v>
      </c>
      <c r="L19" s="28" t="n">
        <f aca="false">SUMIFS('Answer Key'!$G$5:$G$577,'Answer Key'!$I$5:$I$577,$A19,'Answer Key'!$H$5:$H$577,L$4)</f>
        <v>-1686057.99</v>
      </c>
      <c r="M19" s="28" t="n">
        <f aca="false">SUMIFS('Answer Key'!$G$5:$G$577,'Answer Key'!$I$5:$I$577,$A19,'Answer Key'!$H$5:$H$577,M$4)</f>
        <v>-1386714.93</v>
      </c>
      <c r="N19" s="28" t="n">
        <f aca="false">SUMIFS('Answer Key'!$G$5:$G$577,'Answer Key'!$I$5:$I$577,$A19,'Answer Key'!$H$5:$H$577,N$4)</f>
        <v>-1727445.77</v>
      </c>
      <c r="O19" s="29" t="n">
        <f aca="false">SUM(C19:N19)</f>
        <v>-16153212.63</v>
      </c>
    </row>
    <row r="20" customFormat="false" ht="15" hidden="false" customHeight="false" outlineLevel="0" collapsed="false">
      <c r="A20" s="3" t="s">
        <v>1906</v>
      </c>
      <c r="B20" s="3" t="s">
        <v>1883</v>
      </c>
      <c r="C20" s="28" t="n">
        <f aca="false">SUMIFS('Answer Key'!$G$5:$G$577,'Answer Key'!$I$5:$I$577,$A20,'Answer Key'!$H$5:$H$577,C$4)</f>
        <v>-185202.57</v>
      </c>
      <c r="D20" s="28" t="n">
        <f aca="false">SUMIFS('Answer Key'!$G$5:$G$577,'Answer Key'!$I$5:$I$577,$A20,'Answer Key'!$H$5:$H$577,D$4)</f>
        <v>-96669.86</v>
      </c>
      <c r="E20" s="28" t="n">
        <f aca="false">SUMIFS('Answer Key'!$G$5:$G$577,'Answer Key'!$I$5:$I$577,$A20,'Answer Key'!$H$5:$H$577,E$4)</f>
        <v>-106848.83</v>
      </c>
      <c r="F20" s="28" t="n">
        <f aca="false">SUMIFS('Answer Key'!$G$5:$G$577,'Answer Key'!$I$5:$I$577,$A20,'Answer Key'!$H$5:$H$577,F$4)</f>
        <v>-167194.14</v>
      </c>
      <c r="G20" s="28" t="n">
        <f aca="false">SUMIFS('Answer Key'!$G$5:$G$577,'Answer Key'!$I$5:$I$577,$A20,'Answer Key'!$H$5:$H$577,G$4)</f>
        <v>-112687.76</v>
      </c>
      <c r="H20" s="28" t="n">
        <f aca="false">SUMIFS('Answer Key'!$G$5:$G$577,'Answer Key'!$I$5:$I$577,$A20,'Answer Key'!$H$5:$H$577,H$4)</f>
        <v>-218564.32</v>
      </c>
      <c r="I20" s="28" t="n">
        <f aca="false">SUMIFS('Answer Key'!$G$5:$G$577,'Answer Key'!$I$5:$I$577,$A20,'Answer Key'!$H$5:$H$577,I$4)</f>
        <v>-176721.31</v>
      </c>
      <c r="J20" s="28" t="n">
        <f aca="false">SUMIFS('Answer Key'!$G$5:$G$577,'Answer Key'!$I$5:$I$577,$A20,'Answer Key'!$H$5:$H$577,J$4)</f>
        <v>-207947.11</v>
      </c>
      <c r="K20" s="28" t="n">
        <f aca="false">SUMIFS('Answer Key'!$G$5:$G$577,'Answer Key'!$I$5:$I$577,$A20,'Answer Key'!$H$5:$H$577,K$4)</f>
        <v>-163072.68</v>
      </c>
      <c r="L20" s="28" t="n">
        <f aca="false">SUMIFS('Answer Key'!$G$5:$G$577,'Answer Key'!$I$5:$I$577,$A20,'Answer Key'!$H$5:$H$577,L$4)</f>
        <v>-139377.96</v>
      </c>
      <c r="M20" s="28" t="n">
        <f aca="false">SUMIFS('Answer Key'!$G$5:$G$577,'Answer Key'!$I$5:$I$577,$A20,'Answer Key'!$H$5:$H$577,M$4)</f>
        <v>-163687.78</v>
      </c>
      <c r="N20" s="28" t="n">
        <f aca="false">SUMIFS('Answer Key'!$G$5:$G$577,'Answer Key'!$I$5:$I$577,$A20,'Answer Key'!$H$5:$H$577,N$4)</f>
        <v>-214605.23</v>
      </c>
      <c r="O20" s="29" t="n">
        <f aca="false">SUM(C20:N20)</f>
        <v>-1952579.55</v>
      </c>
    </row>
    <row r="21" customFormat="false" ht="15" hidden="false" customHeight="false" outlineLevel="0" collapsed="false">
      <c r="A21" s="3" t="s">
        <v>1950</v>
      </c>
      <c r="B21" s="3" t="s">
        <v>1883</v>
      </c>
      <c r="C21" s="28" t="n">
        <f aca="false">SUMIFS('Answer Key'!$G$5:$G$577,'Answer Key'!$I$5:$I$577,$A21,'Answer Key'!$H$5:$H$577,C$4)</f>
        <v>0</v>
      </c>
      <c r="D21" s="28" t="n">
        <f aca="false">SUMIFS('Answer Key'!$G$5:$G$577,'Answer Key'!$I$5:$I$577,$A21,'Answer Key'!$H$5:$H$577,D$4)</f>
        <v>0</v>
      </c>
      <c r="E21" s="28" t="n">
        <f aca="false">SUMIFS('Answer Key'!$G$5:$G$577,'Answer Key'!$I$5:$I$577,$A21,'Answer Key'!$H$5:$H$577,E$4)</f>
        <v>0</v>
      </c>
      <c r="F21" s="28" t="n">
        <f aca="false">SUMIFS('Answer Key'!$G$5:$G$577,'Answer Key'!$I$5:$I$577,$A21,'Answer Key'!$H$5:$H$577,F$4)</f>
        <v>0</v>
      </c>
      <c r="G21" s="28" t="n">
        <f aca="false">SUMIFS('Answer Key'!$G$5:$G$577,'Answer Key'!$I$5:$I$577,$A21,'Answer Key'!$H$5:$H$577,G$4)</f>
        <v>0</v>
      </c>
      <c r="H21" s="28" t="n">
        <f aca="false">SUMIFS('Answer Key'!$G$5:$G$577,'Answer Key'!$I$5:$I$577,$A21,'Answer Key'!$H$5:$H$577,H$4)</f>
        <v>-3200000</v>
      </c>
      <c r="I21" s="28" t="n">
        <f aca="false">SUMIFS('Answer Key'!$G$5:$G$577,'Answer Key'!$I$5:$I$577,$A21,'Answer Key'!$H$5:$H$577,I$4)</f>
        <v>0</v>
      </c>
      <c r="J21" s="28" t="n">
        <f aca="false">SUMIFS('Answer Key'!$G$5:$G$577,'Answer Key'!$I$5:$I$577,$A21,'Answer Key'!$H$5:$H$577,J$4)</f>
        <v>0</v>
      </c>
      <c r="K21" s="28" t="n">
        <f aca="false">SUMIFS('Answer Key'!$G$5:$G$577,'Answer Key'!$I$5:$I$577,$A21,'Answer Key'!$H$5:$H$577,K$4)</f>
        <v>0</v>
      </c>
      <c r="L21" s="28" t="n">
        <f aca="false">SUMIFS('Answer Key'!$G$5:$G$577,'Answer Key'!$I$5:$I$577,$A21,'Answer Key'!$H$5:$H$577,L$4)</f>
        <v>0</v>
      </c>
      <c r="M21" s="28" t="n">
        <f aca="false">SUMIFS('Answer Key'!$G$5:$G$577,'Answer Key'!$I$5:$I$577,$A21,'Answer Key'!$H$5:$H$577,M$4)</f>
        <v>0</v>
      </c>
      <c r="N21" s="28" t="n">
        <f aca="false">SUMIFS('Answer Key'!$G$5:$G$577,'Answer Key'!$I$5:$I$577,$A21,'Answer Key'!$H$5:$H$577,N$4)</f>
        <v>0</v>
      </c>
      <c r="O21" s="29" t="n">
        <f aca="false">SUM(C21:N21)</f>
        <v>-3200000</v>
      </c>
    </row>
    <row r="22" customFormat="false" ht="15" hidden="false" customHeight="false" outlineLevel="0" collapsed="false">
      <c r="A22" s="3" t="s">
        <v>1889</v>
      </c>
      <c r="B22" s="3" t="s">
        <v>1883</v>
      </c>
      <c r="C22" s="28" t="n">
        <f aca="false">SUMIFS('Answer Key'!$G$5:$G$577,'Answer Key'!$I$5:$I$577,$A22,'Answer Key'!$H$5:$H$577,C$4)</f>
        <v>-8700000</v>
      </c>
      <c r="D22" s="28" t="n">
        <f aca="false">SUMIFS('Answer Key'!$G$5:$G$577,'Answer Key'!$I$5:$I$577,$A22,'Answer Key'!$H$5:$H$577,D$4)</f>
        <v>0</v>
      </c>
      <c r="E22" s="28" t="n">
        <f aca="false">SUMIFS('Answer Key'!$G$5:$G$577,'Answer Key'!$I$5:$I$577,$A22,'Answer Key'!$H$5:$H$577,E$4)</f>
        <v>0</v>
      </c>
      <c r="F22" s="28" t="n">
        <f aca="false">SUMIFS('Answer Key'!$G$5:$G$577,'Answer Key'!$I$5:$I$577,$A22,'Answer Key'!$H$5:$H$577,F$4)</f>
        <v>-1500000</v>
      </c>
      <c r="G22" s="28" t="n">
        <f aca="false">SUMIFS('Answer Key'!$G$5:$G$577,'Answer Key'!$I$5:$I$577,$A22,'Answer Key'!$H$5:$H$577,G$4)</f>
        <v>0</v>
      </c>
      <c r="H22" s="28" t="n">
        <f aca="false">SUMIFS('Answer Key'!$G$5:$G$577,'Answer Key'!$I$5:$I$577,$A22,'Answer Key'!$H$5:$H$577,H$4)</f>
        <v>0</v>
      </c>
      <c r="I22" s="28" t="n">
        <f aca="false">SUMIFS('Answer Key'!$G$5:$G$577,'Answer Key'!$I$5:$I$577,$A22,'Answer Key'!$H$5:$H$577,I$4)</f>
        <v>-1500000</v>
      </c>
      <c r="J22" s="28" t="n">
        <f aca="false">SUMIFS('Answer Key'!$G$5:$G$577,'Answer Key'!$I$5:$I$577,$A22,'Answer Key'!$H$5:$H$577,J$4)</f>
        <v>0</v>
      </c>
      <c r="K22" s="28" t="n">
        <f aca="false">SUMIFS('Answer Key'!$G$5:$G$577,'Answer Key'!$I$5:$I$577,$A22,'Answer Key'!$H$5:$H$577,K$4)</f>
        <v>0</v>
      </c>
      <c r="L22" s="28" t="n">
        <f aca="false">SUMIFS('Answer Key'!$G$5:$G$577,'Answer Key'!$I$5:$I$577,$A22,'Answer Key'!$H$5:$H$577,L$4)</f>
        <v>-1500000</v>
      </c>
      <c r="M22" s="28" t="n">
        <f aca="false">SUMIFS('Answer Key'!$G$5:$G$577,'Answer Key'!$I$5:$I$577,$A22,'Answer Key'!$H$5:$H$577,M$4)</f>
        <v>0</v>
      </c>
      <c r="N22" s="28" t="n">
        <f aca="false">SUMIFS('Answer Key'!$G$5:$G$577,'Answer Key'!$I$5:$I$577,$A22,'Answer Key'!$H$5:$H$577,N$4)</f>
        <v>0</v>
      </c>
      <c r="O22" s="29" t="n">
        <f aca="false">SUM(C22:N22)</f>
        <v>-13200000</v>
      </c>
    </row>
    <row r="23" customFormat="false" ht="15" hidden="false" customHeight="false" outlineLevel="0" collapsed="false">
      <c r="A23" s="3" t="s">
        <v>1888</v>
      </c>
      <c r="B23" s="3" t="s">
        <v>1883</v>
      </c>
      <c r="C23" s="28" t="n">
        <f aca="false">SUMIFS('Answer Key'!$G$5:$G$577,'Answer Key'!$I$5:$I$577,$A23,'Answer Key'!$H$5:$H$577,C$4)</f>
        <v>-521300</v>
      </c>
      <c r="D23" s="28" t="n">
        <f aca="false">SUMIFS('Answer Key'!$G$5:$G$577,'Answer Key'!$I$5:$I$577,$A23,'Answer Key'!$H$5:$H$577,D$4)</f>
        <v>-706100</v>
      </c>
      <c r="E23" s="28" t="n">
        <f aca="false">SUMIFS('Answer Key'!$G$5:$G$577,'Answer Key'!$I$5:$I$577,$A23,'Answer Key'!$H$5:$H$577,E$4)</f>
        <v>-490100</v>
      </c>
      <c r="F23" s="28" t="n">
        <f aca="false">SUMIFS('Answer Key'!$G$5:$G$577,'Answer Key'!$I$5:$I$577,$A23,'Answer Key'!$H$5:$H$577,F$4)</f>
        <v>-619600</v>
      </c>
      <c r="G23" s="28" t="n">
        <f aca="false">SUMIFS('Answer Key'!$G$5:$G$577,'Answer Key'!$I$5:$I$577,$A23,'Answer Key'!$H$5:$H$577,G$4)</f>
        <v>-666100</v>
      </c>
      <c r="H23" s="28" t="n">
        <f aca="false">SUMIFS('Answer Key'!$G$5:$G$577,'Answer Key'!$I$5:$I$577,$A23,'Answer Key'!$H$5:$H$577,H$4)</f>
        <v>-757700</v>
      </c>
      <c r="I23" s="28" t="n">
        <f aca="false">SUMIFS('Answer Key'!$G$5:$G$577,'Answer Key'!$I$5:$I$577,$A23,'Answer Key'!$H$5:$H$577,I$4)</f>
        <v>-634100</v>
      </c>
      <c r="J23" s="28" t="n">
        <f aca="false">SUMIFS('Answer Key'!$G$5:$G$577,'Answer Key'!$I$5:$I$577,$A23,'Answer Key'!$H$5:$H$577,J$4)</f>
        <v>-748800</v>
      </c>
      <c r="K23" s="28" t="n">
        <f aca="false">SUMIFS('Answer Key'!$G$5:$G$577,'Answer Key'!$I$5:$I$577,$A23,'Answer Key'!$H$5:$H$577,K$4)</f>
        <v>-781400</v>
      </c>
      <c r="L23" s="28" t="n">
        <f aca="false">SUMIFS('Answer Key'!$G$5:$G$577,'Answer Key'!$I$5:$I$577,$A23,'Answer Key'!$H$5:$H$577,L$4)</f>
        <v>-539500</v>
      </c>
      <c r="M23" s="28" t="n">
        <f aca="false">SUMIFS('Answer Key'!$G$5:$G$577,'Answer Key'!$I$5:$I$577,$A23,'Answer Key'!$H$5:$H$577,M$4)</f>
        <v>-797300</v>
      </c>
      <c r="N23" s="28" t="n">
        <f aca="false">SUMIFS('Answer Key'!$G$5:$G$577,'Answer Key'!$I$5:$I$577,$A23,'Answer Key'!$H$5:$H$577,N$4)</f>
        <v>-857100</v>
      </c>
      <c r="O23" s="29" t="n">
        <f aca="false">SUM(C23:N23)</f>
        <v>-8119100</v>
      </c>
    </row>
    <row r="24" customFormat="false" ht="15" hidden="false" customHeight="false" outlineLevel="0" collapsed="false">
      <c r="A24" s="3" t="s">
        <v>1893</v>
      </c>
      <c r="B24" s="3" t="s">
        <v>1883</v>
      </c>
      <c r="C24" s="28" t="n">
        <f aca="false">SUMIFS('Answer Key'!$G$5:$G$577,'Answer Key'!$I$5:$I$577,$A24,'Answer Key'!$H$5:$H$577,C$4)</f>
        <v>-1167660.8</v>
      </c>
      <c r="D24" s="28" t="n">
        <f aca="false">SUMIFS('Answer Key'!$G$5:$G$577,'Answer Key'!$I$5:$I$577,$A24,'Answer Key'!$H$5:$H$577,D$4)</f>
        <v>-3145629.21</v>
      </c>
      <c r="E24" s="28" t="n">
        <f aca="false">SUMIFS('Answer Key'!$G$5:$G$577,'Answer Key'!$I$5:$I$577,$A24,'Answer Key'!$H$5:$H$577,E$4)</f>
        <v>-3516617.44</v>
      </c>
      <c r="F24" s="28" t="n">
        <f aca="false">SUMIFS('Answer Key'!$G$5:$G$577,'Answer Key'!$I$5:$I$577,$A24,'Answer Key'!$H$5:$H$577,F$4)</f>
        <v>-2059556.59</v>
      </c>
      <c r="G24" s="28" t="n">
        <f aca="false">SUMIFS('Answer Key'!$G$5:$G$577,'Answer Key'!$I$5:$I$577,$A24,'Answer Key'!$H$5:$H$577,G$4)</f>
        <v>-960864.37</v>
      </c>
      <c r="H24" s="28" t="n">
        <f aca="false">SUMIFS('Answer Key'!$G$5:$G$577,'Answer Key'!$I$5:$I$577,$A24,'Answer Key'!$H$5:$H$577,H$4)</f>
        <v>-778296.68</v>
      </c>
      <c r="I24" s="28" t="n">
        <f aca="false">SUMIFS('Answer Key'!$G$5:$G$577,'Answer Key'!$I$5:$I$577,$A24,'Answer Key'!$H$5:$H$577,I$4)</f>
        <v>-3493408</v>
      </c>
      <c r="J24" s="28" t="n">
        <f aca="false">SUMIFS('Answer Key'!$G$5:$G$577,'Answer Key'!$I$5:$I$577,$A24,'Answer Key'!$H$5:$H$577,J$4)</f>
        <v>-860929.53</v>
      </c>
      <c r="K24" s="28" t="n">
        <f aca="false">SUMIFS('Answer Key'!$G$5:$G$577,'Answer Key'!$I$5:$I$577,$A24,'Answer Key'!$H$5:$H$577,K$4)</f>
        <v>-629767.75</v>
      </c>
      <c r="L24" s="28" t="n">
        <f aca="false">SUMIFS('Answer Key'!$G$5:$G$577,'Answer Key'!$I$5:$I$577,$A24,'Answer Key'!$H$5:$H$577,L$4)</f>
        <v>-2145755.71</v>
      </c>
      <c r="M24" s="28" t="n">
        <f aca="false">SUMIFS('Answer Key'!$G$5:$G$577,'Answer Key'!$I$5:$I$577,$A24,'Answer Key'!$H$5:$H$577,M$4)</f>
        <v>-3335704.68</v>
      </c>
      <c r="N24" s="28" t="n">
        <f aca="false">SUMIFS('Answer Key'!$G$5:$G$577,'Answer Key'!$I$5:$I$577,$A24,'Answer Key'!$H$5:$H$577,N$4)</f>
        <v>-1140684.57</v>
      </c>
      <c r="O24" s="29" t="n">
        <f aca="false">SUM(C24:N24)</f>
        <v>-23234875.33</v>
      </c>
    </row>
    <row r="25" customFormat="false" ht="15" hidden="false" customHeight="false" outlineLevel="0" collapsed="false">
      <c r="A25" s="3" t="s">
        <v>1901</v>
      </c>
      <c r="B25" s="3" t="s">
        <v>1883</v>
      </c>
      <c r="C25" s="28" t="n">
        <f aca="false">SUMIFS('Answer Key'!$G$5:$G$577,'Answer Key'!$I$5:$I$577,$A25,'Answer Key'!$H$5:$H$577,C$4)</f>
        <v>-441950.48</v>
      </c>
      <c r="D25" s="28" t="n">
        <f aca="false">SUMIFS('Answer Key'!$G$5:$G$577,'Answer Key'!$I$5:$I$577,$A25,'Answer Key'!$H$5:$H$577,D$4)</f>
        <v>-398345.07</v>
      </c>
      <c r="E25" s="28" t="n">
        <f aca="false">SUMIFS('Answer Key'!$G$5:$G$577,'Answer Key'!$I$5:$I$577,$A25,'Answer Key'!$H$5:$H$577,E$4)</f>
        <v>-492664.82</v>
      </c>
      <c r="F25" s="28" t="n">
        <f aca="false">SUMIFS('Answer Key'!$G$5:$G$577,'Answer Key'!$I$5:$I$577,$A25,'Answer Key'!$H$5:$H$577,F$4)</f>
        <v>-430399.04</v>
      </c>
      <c r="G25" s="28" t="n">
        <f aca="false">SUMIFS('Answer Key'!$G$5:$G$577,'Answer Key'!$I$5:$I$577,$A25,'Answer Key'!$H$5:$H$577,G$4)</f>
        <v>-365215.53</v>
      </c>
      <c r="H25" s="28" t="n">
        <f aca="false">SUMIFS('Answer Key'!$G$5:$G$577,'Answer Key'!$I$5:$I$577,$A25,'Answer Key'!$H$5:$H$577,H$4)</f>
        <v>-407979.55</v>
      </c>
      <c r="I25" s="28" t="n">
        <f aca="false">SUMIFS('Answer Key'!$G$5:$G$577,'Answer Key'!$I$5:$I$577,$A25,'Answer Key'!$H$5:$H$577,I$4)</f>
        <v>-548294.74</v>
      </c>
      <c r="J25" s="28" t="n">
        <f aca="false">SUMIFS('Answer Key'!$G$5:$G$577,'Answer Key'!$I$5:$I$577,$A25,'Answer Key'!$H$5:$H$577,J$4)</f>
        <v>-433920.53</v>
      </c>
      <c r="K25" s="28" t="n">
        <f aca="false">SUMIFS('Answer Key'!$G$5:$G$577,'Answer Key'!$I$5:$I$577,$A25,'Answer Key'!$H$5:$H$577,K$4)</f>
        <v>-501595.49</v>
      </c>
      <c r="L25" s="28" t="n">
        <f aca="false">SUMIFS('Answer Key'!$G$5:$G$577,'Answer Key'!$I$5:$I$577,$A25,'Answer Key'!$H$5:$H$577,L$4)</f>
        <v>-564684.58</v>
      </c>
      <c r="M25" s="28" t="n">
        <f aca="false">SUMIFS('Answer Key'!$G$5:$G$577,'Answer Key'!$I$5:$I$577,$A25,'Answer Key'!$H$5:$H$577,M$4)</f>
        <v>-645953.64</v>
      </c>
      <c r="N25" s="28" t="n">
        <f aca="false">SUMIFS('Answer Key'!$G$5:$G$577,'Answer Key'!$I$5:$I$577,$A25,'Answer Key'!$H$5:$H$577,N$4)</f>
        <v>-622516.87</v>
      </c>
      <c r="O25" s="29" t="n">
        <f aca="false">SUM(C25:N25)</f>
        <v>-5853520.34</v>
      </c>
    </row>
    <row r="26" customFormat="false" ht="15" hidden="false" customHeight="false" outlineLevel="0" collapsed="false">
      <c r="A26" s="3" t="s">
        <v>1955</v>
      </c>
      <c r="B26" s="3" t="s">
        <v>1883</v>
      </c>
      <c r="C26" s="28" t="n">
        <f aca="false">SUMIFS('Answer Key'!$G$5:$G$577,'Answer Key'!$I$5:$I$577,$A26,'Answer Key'!$H$5:$H$577,C$4)</f>
        <v>0</v>
      </c>
      <c r="D26" s="28" t="n">
        <f aca="false">SUMIFS('Answer Key'!$G$5:$G$577,'Answer Key'!$I$5:$I$577,$A26,'Answer Key'!$H$5:$H$577,D$4)</f>
        <v>0</v>
      </c>
      <c r="E26" s="28" t="n">
        <f aca="false">SUMIFS('Answer Key'!$G$5:$G$577,'Answer Key'!$I$5:$I$577,$A26,'Answer Key'!$H$5:$H$577,E$4)</f>
        <v>0</v>
      </c>
      <c r="F26" s="28" t="n">
        <f aca="false">SUMIFS('Answer Key'!$G$5:$G$577,'Answer Key'!$I$5:$I$577,$A26,'Answer Key'!$H$5:$H$577,F$4)</f>
        <v>0</v>
      </c>
      <c r="G26" s="28" t="n">
        <f aca="false">SUMIFS('Answer Key'!$G$5:$G$577,'Answer Key'!$I$5:$I$577,$A26,'Answer Key'!$H$5:$H$577,G$4)</f>
        <v>0</v>
      </c>
      <c r="H26" s="28" t="n">
        <f aca="false">SUMIFS('Answer Key'!$G$5:$G$577,'Answer Key'!$I$5:$I$577,$A26,'Answer Key'!$H$5:$H$577,H$4)</f>
        <v>-50000</v>
      </c>
      <c r="I26" s="28" t="n">
        <f aca="false">SUMIFS('Answer Key'!$G$5:$G$577,'Answer Key'!$I$5:$I$577,$A26,'Answer Key'!$H$5:$H$577,I$4)</f>
        <v>0</v>
      </c>
      <c r="J26" s="28" t="n">
        <f aca="false">SUMIFS('Answer Key'!$G$5:$G$577,'Answer Key'!$I$5:$I$577,$A26,'Answer Key'!$H$5:$H$577,J$4)</f>
        <v>-1800000</v>
      </c>
      <c r="K26" s="28" t="n">
        <f aca="false">SUMIFS('Answer Key'!$G$5:$G$577,'Answer Key'!$I$5:$I$577,$A26,'Answer Key'!$H$5:$H$577,K$4)</f>
        <v>0</v>
      </c>
      <c r="L26" s="28" t="n">
        <f aca="false">SUMIFS('Answer Key'!$G$5:$G$577,'Answer Key'!$I$5:$I$577,$A26,'Answer Key'!$H$5:$H$577,L$4)</f>
        <v>-450000</v>
      </c>
      <c r="M26" s="28" t="n">
        <f aca="false">SUMIFS('Answer Key'!$G$5:$G$577,'Answer Key'!$I$5:$I$577,$A26,'Answer Key'!$H$5:$H$577,M$4)</f>
        <v>0</v>
      </c>
      <c r="N26" s="28" t="n">
        <f aca="false">SUMIFS('Answer Key'!$G$5:$G$577,'Answer Key'!$I$5:$I$577,$A26,'Answer Key'!$H$5:$H$577,N$4)</f>
        <v>0</v>
      </c>
      <c r="O26" s="29" t="n">
        <f aca="false">SUM(C26:N26)</f>
        <v>-2300000</v>
      </c>
    </row>
    <row r="27" customFormat="false" ht="15" hidden="false" customHeight="false" outlineLevel="0" collapsed="false">
      <c r="A27" s="3" t="s">
        <v>1931</v>
      </c>
      <c r="B27" s="3" t="s">
        <v>1883</v>
      </c>
      <c r="C27" s="28" t="n">
        <f aca="false">SUMIFS('Answer Key'!$G$5:$G$577,'Answer Key'!$I$5:$I$577,$A27,'Answer Key'!$H$5:$H$577,C$4)</f>
        <v>0</v>
      </c>
      <c r="D27" s="28" t="n">
        <f aca="false">SUMIFS('Answer Key'!$G$5:$G$577,'Answer Key'!$I$5:$I$577,$A27,'Answer Key'!$H$5:$H$577,D$4)</f>
        <v>0</v>
      </c>
      <c r="E27" s="28" t="n">
        <f aca="false">SUMIFS('Answer Key'!$G$5:$G$577,'Answer Key'!$I$5:$I$577,$A27,'Answer Key'!$H$5:$H$577,E$4)</f>
        <v>-2400000</v>
      </c>
      <c r="F27" s="28" t="n">
        <f aca="false">SUMIFS('Answer Key'!$G$5:$G$577,'Answer Key'!$I$5:$I$577,$A27,'Answer Key'!$H$5:$H$577,F$4)</f>
        <v>0</v>
      </c>
      <c r="G27" s="28" t="n">
        <f aca="false">SUMIFS('Answer Key'!$G$5:$G$577,'Answer Key'!$I$5:$I$577,$A27,'Answer Key'!$H$5:$H$577,G$4)</f>
        <v>0</v>
      </c>
      <c r="H27" s="28" t="n">
        <f aca="false">SUMIFS('Answer Key'!$G$5:$G$577,'Answer Key'!$I$5:$I$577,$A27,'Answer Key'!$H$5:$H$577,H$4)</f>
        <v>0</v>
      </c>
      <c r="I27" s="28" t="n">
        <f aca="false">SUMIFS('Answer Key'!$G$5:$G$577,'Answer Key'!$I$5:$I$577,$A27,'Answer Key'!$H$5:$H$577,I$4)</f>
        <v>-650000</v>
      </c>
      <c r="J27" s="28" t="n">
        <f aca="false">SUMIFS('Answer Key'!$G$5:$G$577,'Answer Key'!$I$5:$I$577,$A27,'Answer Key'!$H$5:$H$577,J$4)</f>
        <v>0</v>
      </c>
      <c r="K27" s="28" t="n">
        <f aca="false">SUMIFS('Answer Key'!$G$5:$G$577,'Answer Key'!$I$5:$I$577,$A27,'Answer Key'!$H$5:$H$577,K$4)</f>
        <v>0</v>
      </c>
      <c r="L27" s="28" t="n">
        <f aca="false">SUMIFS('Answer Key'!$G$5:$G$577,'Answer Key'!$I$5:$I$577,$A27,'Answer Key'!$H$5:$H$577,L$4)</f>
        <v>0</v>
      </c>
      <c r="M27" s="28" t="n">
        <f aca="false">SUMIFS('Answer Key'!$G$5:$G$577,'Answer Key'!$I$5:$I$577,$A27,'Answer Key'!$H$5:$H$577,M$4)</f>
        <v>0</v>
      </c>
      <c r="N27" s="28" t="n">
        <f aca="false">SUMIFS('Answer Key'!$G$5:$G$577,'Answer Key'!$I$5:$I$577,$A27,'Answer Key'!$H$5:$H$577,N$4)</f>
        <v>0</v>
      </c>
      <c r="O27" s="29" t="n">
        <f aca="false">SUM(C27:N27)</f>
        <v>-3050000</v>
      </c>
    </row>
    <row r="28" customFormat="false" ht="15" hidden="false" customHeight="false" outlineLevel="0" collapsed="false">
      <c r="A28" s="3" t="s">
        <v>1933</v>
      </c>
      <c r="B28" s="3" t="s">
        <v>1883</v>
      </c>
      <c r="C28" s="28" t="n">
        <f aca="false">SUMIFS('Answer Key'!$G$5:$G$577,'Answer Key'!$I$5:$I$577,$A28,'Answer Key'!$H$5:$H$577,C$4)</f>
        <v>0</v>
      </c>
      <c r="D28" s="28" t="n">
        <f aca="false">SUMIFS('Answer Key'!$G$5:$G$577,'Answer Key'!$I$5:$I$577,$A28,'Answer Key'!$H$5:$H$577,D$4)</f>
        <v>0</v>
      </c>
      <c r="E28" s="28" t="n">
        <f aca="false">SUMIFS('Answer Key'!$G$5:$G$577,'Answer Key'!$I$5:$I$577,$A28,'Answer Key'!$H$5:$H$577,E$4)</f>
        <v>-347600</v>
      </c>
      <c r="F28" s="28" t="n">
        <f aca="false">SUMIFS('Answer Key'!$G$5:$G$577,'Answer Key'!$I$5:$I$577,$A28,'Answer Key'!$H$5:$H$577,F$4)</f>
        <v>0</v>
      </c>
      <c r="G28" s="28" t="n">
        <f aca="false">SUMIFS('Answer Key'!$G$5:$G$577,'Answer Key'!$I$5:$I$577,$A28,'Answer Key'!$H$5:$H$577,G$4)</f>
        <v>-365000</v>
      </c>
      <c r="H28" s="28" t="n">
        <f aca="false">SUMIFS('Answer Key'!$G$5:$G$577,'Answer Key'!$I$5:$I$577,$A28,'Answer Key'!$H$5:$H$577,H$4)</f>
        <v>0</v>
      </c>
      <c r="I28" s="28" t="n">
        <f aca="false">SUMIFS('Answer Key'!$G$5:$G$577,'Answer Key'!$I$5:$I$577,$A28,'Answer Key'!$H$5:$H$577,I$4)</f>
        <v>0</v>
      </c>
      <c r="J28" s="28" t="n">
        <f aca="false">SUMIFS('Answer Key'!$G$5:$G$577,'Answer Key'!$I$5:$I$577,$A28,'Answer Key'!$H$5:$H$577,J$4)</f>
        <v>-187300</v>
      </c>
      <c r="K28" s="28" t="n">
        <f aca="false">SUMIFS('Answer Key'!$G$5:$G$577,'Answer Key'!$I$5:$I$577,$A28,'Answer Key'!$H$5:$H$577,K$4)</f>
        <v>0</v>
      </c>
      <c r="L28" s="28" t="n">
        <f aca="false">SUMIFS('Answer Key'!$G$5:$G$577,'Answer Key'!$I$5:$I$577,$A28,'Answer Key'!$H$5:$H$577,L$4)</f>
        <v>-596400</v>
      </c>
      <c r="M28" s="28" t="n">
        <f aca="false">SUMIFS('Answer Key'!$G$5:$G$577,'Answer Key'!$I$5:$I$577,$A28,'Answer Key'!$H$5:$H$577,M$4)</f>
        <v>0</v>
      </c>
      <c r="N28" s="28" t="n">
        <f aca="false">SUMIFS('Answer Key'!$G$5:$G$577,'Answer Key'!$I$5:$I$577,$A28,'Answer Key'!$H$5:$H$577,N$4)</f>
        <v>-284000</v>
      </c>
      <c r="O28" s="29" t="n">
        <f aca="false">SUM(C28:N28)</f>
        <v>-1780300</v>
      </c>
    </row>
    <row r="29" customFormat="false" ht="15" hidden="false" customHeight="false" outlineLevel="0" collapsed="false">
      <c r="A29" s="3" t="s">
        <v>1900</v>
      </c>
      <c r="B29" s="3" t="s">
        <v>1883</v>
      </c>
      <c r="C29" s="28" t="n">
        <f aca="false">SUMIFS('Answer Key'!$G$5:$G$577,'Answer Key'!$I$5:$I$577,$A29,'Answer Key'!$H$5:$H$577,C$4)</f>
        <v>-199288.34</v>
      </c>
      <c r="D29" s="28" t="n">
        <f aca="false">SUMIFS('Answer Key'!$G$5:$G$577,'Answer Key'!$I$5:$I$577,$A29,'Answer Key'!$H$5:$H$577,D$4)</f>
        <v>-110856.42</v>
      </c>
      <c r="E29" s="28" t="n">
        <f aca="false">SUMIFS('Answer Key'!$G$5:$G$577,'Answer Key'!$I$5:$I$577,$A29,'Answer Key'!$H$5:$H$577,E$4)</f>
        <v>-218499.03</v>
      </c>
      <c r="F29" s="28" t="n">
        <f aca="false">SUMIFS('Answer Key'!$G$5:$G$577,'Answer Key'!$I$5:$I$577,$A29,'Answer Key'!$H$5:$H$577,F$4)</f>
        <v>-117010.65</v>
      </c>
      <c r="G29" s="28" t="n">
        <f aca="false">SUMIFS('Answer Key'!$G$5:$G$577,'Answer Key'!$I$5:$I$577,$A29,'Answer Key'!$H$5:$H$577,G$4)</f>
        <v>-160831.64</v>
      </c>
      <c r="H29" s="28" t="n">
        <f aca="false">SUMIFS('Answer Key'!$G$5:$G$577,'Answer Key'!$I$5:$I$577,$A29,'Answer Key'!$H$5:$H$577,H$4)</f>
        <v>-168243.13</v>
      </c>
      <c r="I29" s="28" t="n">
        <f aca="false">SUMIFS('Answer Key'!$G$5:$G$577,'Answer Key'!$I$5:$I$577,$A29,'Answer Key'!$H$5:$H$577,I$4)</f>
        <v>-241002.15</v>
      </c>
      <c r="J29" s="28" t="n">
        <f aca="false">SUMIFS('Answer Key'!$G$5:$G$577,'Answer Key'!$I$5:$I$577,$A29,'Answer Key'!$H$5:$H$577,J$4)</f>
        <v>-61927.5</v>
      </c>
      <c r="K29" s="28" t="n">
        <f aca="false">SUMIFS('Answer Key'!$G$5:$G$577,'Answer Key'!$I$5:$I$577,$A29,'Answer Key'!$H$5:$H$577,K$4)</f>
        <v>-148012.55</v>
      </c>
      <c r="L29" s="28" t="n">
        <f aca="false">SUMIFS('Answer Key'!$G$5:$G$577,'Answer Key'!$I$5:$I$577,$A29,'Answer Key'!$H$5:$H$577,L$4)</f>
        <v>-111884.35</v>
      </c>
      <c r="M29" s="28" t="n">
        <f aca="false">SUMIFS('Answer Key'!$G$5:$G$577,'Answer Key'!$I$5:$I$577,$A29,'Answer Key'!$H$5:$H$577,M$4)</f>
        <v>-74590.32</v>
      </c>
      <c r="N29" s="28" t="n">
        <f aca="false">SUMIFS('Answer Key'!$G$5:$G$577,'Answer Key'!$I$5:$I$577,$A29,'Answer Key'!$H$5:$H$577,N$4)</f>
        <v>-117856.6</v>
      </c>
      <c r="O29" s="29" t="n">
        <f aca="false">SUM(C29:N29)</f>
        <v>-1730002.68</v>
      </c>
    </row>
    <row r="30" customFormat="false" ht="15" hidden="false" customHeight="false" outlineLevel="0" collapsed="false">
      <c r="A30" s="3" t="s">
        <v>1911</v>
      </c>
      <c r="B30" s="3" t="s">
        <v>1883</v>
      </c>
      <c r="C30" s="28" t="n">
        <f aca="false">SUMIFS('Answer Key'!$G$5:$G$577,'Answer Key'!$I$5:$I$577,$A30,'Answer Key'!$H$5:$H$577,C$4)</f>
        <v>-9762.07</v>
      </c>
      <c r="D30" s="28" t="n">
        <f aca="false">SUMIFS('Answer Key'!$G$5:$G$577,'Answer Key'!$I$5:$I$577,$A30,'Answer Key'!$H$5:$H$577,D$4)</f>
        <v>-10235.64</v>
      </c>
      <c r="E30" s="28" t="n">
        <f aca="false">SUMIFS('Answer Key'!$G$5:$G$577,'Answer Key'!$I$5:$I$577,$A30,'Answer Key'!$H$5:$H$577,E$4)</f>
        <v>-9563.57</v>
      </c>
      <c r="F30" s="28" t="n">
        <f aca="false">SUMIFS('Answer Key'!$G$5:$G$577,'Answer Key'!$I$5:$I$577,$A30,'Answer Key'!$H$5:$H$577,F$4)</f>
        <v>-10032.67</v>
      </c>
      <c r="G30" s="28" t="n">
        <f aca="false">SUMIFS('Answer Key'!$G$5:$G$577,'Answer Key'!$I$5:$I$577,$A30,'Answer Key'!$H$5:$H$577,G$4)</f>
        <v>-9517.19</v>
      </c>
      <c r="H30" s="28" t="n">
        <f aca="false">SUMIFS('Answer Key'!$G$5:$G$577,'Answer Key'!$I$5:$I$577,$A30,'Answer Key'!$H$5:$H$577,H$4)</f>
        <v>-9598.9</v>
      </c>
      <c r="I30" s="28" t="n">
        <f aca="false">SUMIFS('Answer Key'!$G$5:$G$577,'Answer Key'!$I$5:$I$577,$A30,'Answer Key'!$H$5:$H$577,I$4)</f>
        <v>-10282.91</v>
      </c>
      <c r="J30" s="28" t="n">
        <f aca="false">SUMIFS('Answer Key'!$G$5:$G$577,'Answer Key'!$I$5:$I$577,$A30,'Answer Key'!$H$5:$H$577,J$4)</f>
        <v>-15581.62</v>
      </c>
      <c r="K30" s="28" t="n">
        <f aca="false">SUMIFS('Answer Key'!$G$5:$G$577,'Answer Key'!$I$5:$I$577,$A30,'Answer Key'!$H$5:$H$577,K$4)</f>
        <v>-9562.95</v>
      </c>
      <c r="L30" s="28" t="n">
        <f aca="false">SUMIFS('Answer Key'!$G$5:$G$577,'Answer Key'!$I$5:$I$577,$A30,'Answer Key'!$H$5:$H$577,L$4)</f>
        <v>-10098.15</v>
      </c>
      <c r="M30" s="28" t="n">
        <f aca="false">SUMIFS('Answer Key'!$G$5:$G$577,'Answer Key'!$I$5:$I$577,$A30,'Answer Key'!$H$5:$H$577,M$4)</f>
        <v>-56294.63</v>
      </c>
      <c r="N30" s="28" t="n">
        <f aca="false">SUMIFS('Answer Key'!$G$5:$G$577,'Answer Key'!$I$5:$I$577,$A30,'Answer Key'!$H$5:$H$577,N$4)</f>
        <v>-9592.47</v>
      </c>
      <c r="O30" s="29" t="n">
        <f aca="false">SUM(C30:N30)</f>
        <v>-170122.77</v>
      </c>
    </row>
    <row r="31" customFormat="false" ht="15" hidden="false" customHeight="false" outlineLevel="0" collapsed="false">
      <c r="A31" s="3" t="s">
        <v>1914</v>
      </c>
      <c r="B31" s="3" t="s">
        <v>1883</v>
      </c>
      <c r="C31" s="28" t="n">
        <f aca="false">SUMIFS('Answer Key'!$G$5:$G$577,'Answer Key'!$I$5:$I$577,$A31,'Answer Key'!$H$5:$H$577,C$4)</f>
        <v>-850</v>
      </c>
      <c r="D31" s="28" t="n">
        <f aca="false">SUMIFS('Answer Key'!$G$5:$G$577,'Answer Key'!$I$5:$I$577,$A31,'Answer Key'!$H$5:$H$577,D$4)</f>
        <v>-900</v>
      </c>
      <c r="E31" s="28" t="n">
        <f aca="false">SUMIFS('Answer Key'!$G$5:$G$577,'Answer Key'!$I$5:$I$577,$A31,'Answer Key'!$H$5:$H$577,E$4)</f>
        <v>-1050</v>
      </c>
      <c r="F31" s="28" t="n">
        <f aca="false">SUMIFS('Answer Key'!$G$5:$G$577,'Answer Key'!$I$5:$I$577,$A31,'Answer Key'!$H$5:$H$577,F$4)</f>
        <v>-750</v>
      </c>
      <c r="G31" s="28" t="n">
        <f aca="false">SUMIFS('Answer Key'!$G$5:$G$577,'Answer Key'!$I$5:$I$577,$A31,'Answer Key'!$H$5:$H$577,G$4)</f>
        <v>-900</v>
      </c>
      <c r="H31" s="28" t="n">
        <f aca="false">SUMIFS('Answer Key'!$G$5:$G$577,'Answer Key'!$I$5:$I$577,$A31,'Answer Key'!$H$5:$H$577,H$4)</f>
        <v>-800</v>
      </c>
      <c r="I31" s="28" t="n">
        <f aca="false">SUMIFS('Answer Key'!$G$5:$G$577,'Answer Key'!$I$5:$I$577,$A31,'Answer Key'!$H$5:$H$577,I$4)</f>
        <v>-900</v>
      </c>
      <c r="J31" s="28" t="n">
        <f aca="false">SUMIFS('Answer Key'!$G$5:$G$577,'Answer Key'!$I$5:$I$577,$A31,'Answer Key'!$H$5:$H$577,J$4)</f>
        <v>-900</v>
      </c>
      <c r="K31" s="28" t="n">
        <f aca="false">SUMIFS('Answer Key'!$G$5:$G$577,'Answer Key'!$I$5:$I$577,$A31,'Answer Key'!$H$5:$H$577,K$4)</f>
        <v>-950</v>
      </c>
      <c r="L31" s="28" t="n">
        <f aca="false">SUMIFS('Answer Key'!$G$5:$G$577,'Answer Key'!$I$5:$I$577,$A31,'Answer Key'!$H$5:$H$577,L$4)</f>
        <v>-850</v>
      </c>
      <c r="M31" s="28" t="n">
        <f aca="false">SUMIFS('Answer Key'!$G$5:$G$577,'Answer Key'!$I$5:$I$577,$A31,'Answer Key'!$H$5:$H$577,M$4)</f>
        <v>-750</v>
      </c>
      <c r="N31" s="28" t="n">
        <f aca="false">SUMIFS('Answer Key'!$G$5:$G$577,'Answer Key'!$I$5:$I$577,$A31,'Answer Key'!$H$5:$H$577,N$4)</f>
        <v>-900</v>
      </c>
      <c r="O31" s="29" t="n">
        <f aca="false">SUM(C31:N31)</f>
        <v>-10500</v>
      </c>
    </row>
    <row r="32" customFormat="false" ht="15" hidden="false" customHeight="false" outlineLevel="0" collapsed="false">
      <c r="A32" s="3" t="s">
        <v>1942</v>
      </c>
      <c r="B32" s="3" t="s">
        <v>1883</v>
      </c>
      <c r="C32" s="28" t="n">
        <f aca="false">SUMIFS('Answer Key'!$G$5:$G$577,'Answer Key'!$I$5:$I$577,$A32,'Answer Key'!$H$5:$H$577,C$4)</f>
        <v>0</v>
      </c>
      <c r="D32" s="28" t="n">
        <f aca="false">SUMIFS('Answer Key'!$G$5:$G$577,'Answer Key'!$I$5:$I$577,$A32,'Answer Key'!$H$5:$H$577,D$4)</f>
        <v>0</v>
      </c>
      <c r="E32" s="28" t="n">
        <f aca="false">SUMIFS('Answer Key'!$G$5:$G$577,'Answer Key'!$I$5:$I$577,$A32,'Answer Key'!$H$5:$H$577,E$4)</f>
        <v>0</v>
      </c>
      <c r="F32" s="28" t="n">
        <f aca="false">SUMIFS('Answer Key'!$G$5:$G$577,'Answer Key'!$I$5:$I$577,$A32,'Answer Key'!$H$5:$H$577,F$4)</f>
        <v>-450000</v>
      </c>
      <c r="G32" s="28" t="n">
        <f aca="false">SUMIFS('Answer Key'!$G$5:$G$577,'Answer Key'!$I$5:$I$577,$A32,'Answer Key'!$H$5:$H$577,G$4)</f>
        <v>0</v>
      </c>
      <c r="H32" s="28" t="n">
        <f aca="false">SUMIFS('Answer Key'!$G$5:$G$577,'Answer Key'!$I$5:$I$577,$A32,'Answer Key'!$H$5:$H$577,H$4)</f>
        <v>0</v>
      </c>
      <c r="I32" s="28" t="n">
        <f aca="false">SUMIFS('Answer Key'!$G$5:$G$577,'Answer Key'!$I$5:$I$577,$A32,'Answer Key'!$H$5:$H$577,I$4)</f>
        <v>0</v>
      </c>
      <c r="J32" s="28" t="n">
        <f aca="false">SUMIFS('Answer Key'!$G$5:$G$577,'Answer Key'!$I$5:$I$577,$A32,'Answer Key'!$H$5:$H$577,J$4)</f>
        <v>0</v>
      </c>
      <c r="K32" s="28" t="n">
        <f aca="false">SUMIFS('Answer Key'!$G$5:$G$577,'Answer Key'!$I$5:$I$577,$A32,'Answer Key'!$H$5:$H$577,K$4)</f>
        <v>0</v>
      </c>
      <c r="L32" s="28" t="n">
        <f aca="false">SUMIFS('Answer Key'!$G$5:$G$577,'Answer Key'!$I$5:$I$577,$A32,'Answer Key'!$H$5:$H$577,L$4)</f>
        <v>0</v>
      </c>
      <c r="M32" s="28" t="n">
        <f aca="false">SUMIFS('Answer Key'!$G$5:$G$577,'Answer Key'!$I$5:$I$577,$A32,'Answer Key'!$H$5:$H$577,M$4)</f>
        <v>0</v>
      </c>
      <c r="N32" s="28" t="n">
        <f aca="false">SUMIFS('Answer Key'!$G$5:$G$577,'Answer Key'!$I$5:$I$577,$A32,'Answer Key'!$H$5:$H$577,N$4)</f>
        <v>0</v>
      </c>
      <c r="O32" s="29" t="n">
        <f aca="false">SUM(C32:N32)</f>
        <v>-450000</v>
      </c>
    </row>
    <row r="33" customFormat="false" ht="15" hidden="false" customHeight="false" outlineLevel="0" collapsed="false">
      <c r="A33" s="3" t="s">
        <v>1908</v>
      </c>
      <c r="B33" s="3" t="s">
        <v>1883</v>
      </c>
      <c r="C33" s="28" t="n">
        <f aca="false">SUMIFS('Answer Key'!$G$5:$G$577,'Answer Key'!$I$5:$I$577,$A33,'Answer Key'!$H$5:$H$577,C$4)</f>
        <v>-822000</v>
      </c>
      <c r="D33" s="28" t="n">
        <f aca="false">SUMIFS('Answer Key'!$G$5:$G$577,'Answer Key'!$I$5:$I$577,$A33,'Answer Key'!$H$5:$H$577,D$4)</f>
        <v>-686000</v>
      </c>
      <c r="E33" s="28" t="n">
        <f aca="false">SUMIFS('Answer Key'!$G$5:$G$577,'Answer Key'!$I$5:$I$577,$A33,'Answer Key'!$H$5:$H$577,E$4)</f>
        <v>-1161000</v>
      </c>
      <c r="F33" s="28" t="n">
        <f aca="false">SUMIFS('Answer Key'!$G$5:$G$577,'Answer Key'!$I$5:$I$577,$A33,'Answer Key'!$H$5:$H$577,F$4)</f>
        <v>-865000</v>
      </c>
      <c r="G33" s="28" t="n">
        <f aca="false">SUMIFS('Answer Key'!$G$5:$G$577,'Answer Key'!$I$5:$I$577,$A33,'Answer Key'!$H$5:$H$577,G$4)</f>
        <v>-578000</v>
      </c>
      <c r="H33" s="28" t="n">
        <f aca="false">SUMIFS('Answer Key'!$G$5:$G$577,'Answer Key'!$I$5:$I$577,$A33,'Answer Key'!$H$5:$H$577,H$4)</f>
        <v>-527000</v>
      </c>
      <c r="I33" s="28" t="n">
        <f aca="false">SUMIFS('Answer Key'!$G$5:$G$577,'Answer Key'!$I$5:$I$577,$A33,'Answer Key'!$H$5:$H$577,I$4)</f>
        <v>-519000</v>
      </c>
      <c r="J33" s="28" t="n">
        <f aca="false">SUMIFS('Answer Key'!$G$5:$G$577,'Answer Key'!$I$5:$I$577,$A33,'Answer Key'!$H$5:$H$577,J$4)</f>
        <v>-575000</v>
      </c>
      <c r="K33" s="28" t="n">
        <f aca="false">SUMIFS('Answer Key'!$G$5:$G$577,'Answer Key'!$I$5:$I$577,$A33,'Answer Key'!$H$5:$H$577,K$4)</f>
        <v>-418000</v>
      </c>
      <c r="L33" s="28" t="n">
        <f aca="false">SUMIFS('Answer Key'!$G$5:$G$577,'Answer Key'!$I$5:$I$577,$A33,'Answer Key'!$H$5:$H$577,L$4)</f>
        <v>-921000</v>
      </c>
      <c r="M33" s="28" t="n">
        <f aca="false">SUMIFS('Answer Key'!$G$5:$G$577,'Answer Key'!$I$5:$I$577,$A33,'Answer Key'!$H$5:$H$577,M$4)</f>
        <v>-927000</v>
      </c>
      <c r="N33" s="28" t="n">
        <f aca="false">SUMIFS('Answer Key'!$G$5:$G$577,'Answer Key'!$I$5:$I$577,$A33,'Answer Key'!$H$5:$H$577,N$4)</f>
        <v>-1072000</v>
      </c>
      <c r="O33" s="29" t="n">
        <f aca="false">SUM(C33:N33)</f>
        <v>-9071000</v>
      </c>
    </row>
    <row r="34" customFormat="false" ht="15" hidden="false" customHeight="false" outlineLevel="0" collapsed="false">
      <c r="A34" s="3" t="s">
        <v>1916</v>
      </c>
      <c r="B34" s="3" t="s">
        <v>1917</v>
      </c>
      <c r="C34" s="28" t="n">
        <f aca="false">SUMIFS('Answer Key'!$G$5:$G$577,'Answer Key'!$I$5:$I$577,$A34,'Answer Key'!$H$5:$H$577,C$4)</f>
        <v>0</v>
      </c>
      <c r="D34" s="28" t="n">
        <f aca="false">SUMIFS('Answer Key'!$G$5:$G$577,'Answer Key'!$I$5:$I$577,$A34,'Answer Key'!$H$5:$H$577,D$4)</f>
        <v>-3500000</v>
      </c>
      <c r="E34" s="28" t="n">
        <f aca="false">SUMIFS('Answer Key'!$G$5:$G$577,'Answer Key'!$I$5:$I$577,$A34,'Answer Key'!$H$5:$H$577,E$4)</f>
        <v>0</v>
      </c>
      <c r="F34" s="28" t="n">
        <f aca="false">SUMIFS('Answer Key'!$G$5:$G$577,'Answer Key'!$I$5:$I$577,$A34,'Answer Key'!$H$5:$H$577,F$4)</f>
        <v>0</v>
      </c>
      <c r="G34" s="28" t="n">
        <f aca="false">SUMIFS('Answer Key'!$G$5:$G$577,'Answer Key'!$I$5:$I$577,$A34,'Answer Key'!$H$5:$H$577,G$4)</f>
        <v>0</v>
      </c>
      <c r="H34" s="28" t="n">
        <f aca="false">SUMIFS('Answer Key'!$G$5:$G$577,'Answer Key'!$I$5:$I$577,$A34,'Answer Key'!$H$5:$H$577,H$4)</f>
        <v>-8000000</v>
      </c>
      <c r="I34" s="28" t="n">
        <f aca="false">SUMIFS('Answer Key'!$G$5:$G$577,'Answer Key'!$I$5:$I$577,$A34,'Answer Key'!$H$5:$H$577,I$4)</f>
        <v>-10000000</v>
      </c>
      <c r="J34" s="28" t="n">
        <f aca="false">SUMIFS('Answer Key'!$G$5:$G$577,'Answer Key'!$I$5:$I$577,$A34,'Answer Key'!$H$5:$H$577,J$4)</f>
        <v>0</v>
      </c>
      <c r="K34" s="28" t="n">
        <f aca="false">SUMIFS('Answer Key'!$G$5:$G$577,'Answer Key'!$I$5:$I$577,$A34,'Answer Key'!$H$5:$H$577,K$4)</f>
        <v>0</v>
      </c>
      <c r="L34" s="28" t="n">
        <f aca="false">SUMIFS('Answer Key'!$G$5:$G$577,'Answer Key'!$I$5:$I$577,$A34,'Answer Key'!$H$5:$H$577,L$4)</f>
        <v>0</v>
      </c>
      <c r="M34" s="28" t="n">
        <f aca="false">SUMIFS('Answer Key'!$G$5:$G$577,'Answer Key'!$I$5:$I$577,$A34,'Answer Key'!$H$5:$H$577,M$4)</f>
        <v>0</v>
      </c>
      <c r="N34" s="28" t="n">
        <f aca="false">SUMIFS('Answer Key'!$G$5:$G$577,'Answer Key'!$I$5:$I$577,$A34,'Answer Key'!$H$5:$H$577,N$4)</f>
        <v>0</v>
      </c>
      <c r="O34" s="29" t="n">
        <f aca="false">SUM(C34:N34)</f>
        <v>-21500000</v>
      </c>
    </row>
    <row r="35" customFormat="false" ht="15" hidden="false" customHeight="false" outlineLevel="0" collapsed="false">
      <c r="A35" s="3" t="s">
        <v>1928</v>
      </c>
      <c r="B35" s="3" t="s">
        <v>1920</v>
      </c>
      <c r="C35" s="28" t="n">
        <f aca="false">SUMIFS('Answer Key'!$G$5:$G$577,'Answer Key'!$I$5:$I$577,$A35,'Answer Key'!$H$5:$H$577,C$4)</f>
        <v>0</v>
      </c>
      <c r="D35" s="28" t="n">
        <f aca="false">SUMIFS('Answer Key'!$G$5:$G$577,'Answer Key'!$I$5:$I$577,$A35,'Answer Key'!$H$5:$H$577,D$4)</f>
        <v>0</v>
      </c>
      <c r="E35" s="28" t="n">
        <f aca="false">SUMIFS('Answer Key'!$G$5:$G$577,'Answer Key'!$I$5:$I$577,$A35,'Answer Key'!$H$5:$H$577,E$4)</f>
        <v>20000000</v>
      </c>
      <c r="F35" s="28" t="n">
        <f aca="false">SUMIFS('Answer Key'!$G$5:$G$577,'Answer Key'!$I$5:$I$577,$A35,'Answer Key'!$H$5:$H$577,F$4)</f>
        <v>0</v>
      </c>
      <c r="G35" s="28" t="n">
        <f aca="false">SUMIFS('Answer Key'!$G$5:$G$577,'Answer Key'!$I$5:$I$577,$A35,'Answer Key'!$H$5:$H$577,G$4)</f>
        <v>0</v>
      </c>
      <c r="H35" s="28" t="n">
        <f aca="false">SUMIFS('Answer Key'!$G$5:$G$577,'Answer Key'!$I$5:$I$577,$A35,'Answer Key'!$H$5:$H$577,H$4)</f>
        <v>0</v>
      </c>
      <c r="I35" s="28" t="n">
        <f aca="false">SUMIFS('Answer Key'!$G$5:$G$577,'Answer Key'!$I$5:$I$577,$A35,'Answer Key'!$H$5:$H$577,I$4)</f>
        <v>0</v>
      </c>
      <c r="J35" s="28" t="n">
        <f aca="false">SUMIFS('Answer Key'!$G$5:$G$577,'Answer Key'!$I$5:$I$577,$A35,'Answer Key'!$H$5:$H$577,J$4)</f>
        <v>0</v>
      </c>
      <c r="K35" s="28" t="n">
        <f aca="false">SUMIFS('Answer Key'!$G$5:$G$577,'Answer Key'!$I$5:$I$577,$A35,'Answer Key'!$H$5:$H$577,K$4)</f>
        <v>0</v>
      </c>
      <c r="L35" s="28" t="n">
        <f aca="false">SUMIFS('Answer Key'!$G$5:$G$577,'Answer Key'!$I$5:$I$577,$A35,'Answer Key'!$H$5:$H$577,L$4)</f>
        <v>0</v>
      </c>
      <c r="M35" s="28" t="n">
        <f aca="false">SUMIFS('Answer Key'!$G$5:$G$577,'Answer Key'!$I$5:$I$577,$A35,'Answer Key'!$H$5:$H$577,M$4)</f>
        <v>0</v>
      </c>
      <c r="N35" s="28" t="n">
        <f aca="false">SUMIFS('Answer Key'!$G$5:$G$577,'Answer Key'!$I$5:$I$577,$A35,'Answer Key'!$H$5:$H$577,N$4)</f>
        <v>0</v>
      </c>
      <c r="O35" s="29" t="n">
        <f aca="false">SUM(C35:N35)</f>
        <v>20000000</v>
      </c>
    </row>
    <row r="36" customFormat="false" ht="15" hidden="false" customHeight="false" outlineLevel="0" collapsed="false">
      <c r="A36" s="3" t="s">
        <v>1944</v>
      </c>
      <c r="B36" s="3" t="s">
        <v>1920</v>
      </c>
      <c r="C36" s="28" t="n">
        <f aca="false">SUMIFS('Answer Key'!$G$5:$G$577,'Answer Key'!$I$5:$I$577,$A36,'Answer Key'!$H$5:$H$577,C$4)</f>
        <v>0</v>
      </c>
      <c r="D36" s="28" t="n">
        <f aca="false">SUMIFS('Answer Key'!$G$5:$G$577,'Answer Key'!$I$5:$I$577,$A36,'Answer Key'!$H$5:$H$577,D$4)</f>
        <v>0</v>
      </c>
      <c r="E36" s="28" t="n">
        <f aca="false">SUMIFS('Answer Key'!$G$5:$G$577,'Answer Key'!$I$5:$I$577,$A36,'Answer Key'!$H$5:$H$577,E$4)</f>
        <v>0</v>
      </c>
      <c r="F36" s="28" t="n">
        <f aca="false">SUMIFS('Answer Key'!$G$5:$G$577,'Answer Key'!$I$5:$I$577,$A36,'Answer Key'!$H$5:$H$577,F$4)</f>
        <v>-1057421.95</v>
      </c>
      <c r="G36" s="28" t="n">
        <f aca="false">SUMIFS('Answer Key'!$G$5:$G$577,'Answer Key'!$I$5:$I$577,$A36,'Answer Key'!$H$5:$H$577,G$4)</f>
        <v>-1057421.95</v>
      </c>
      <c r="H36" s="28" t="n">
        <f aca="false">SUMIFS('Answer Key'!$G$5:$G$577,'Answer Key'!$I$5:$I$577,$A36,'Answer Key'!$H$5:$H$577,H$4)</f>
        <v>-1057421.95</v>
      </c>
      <c r="I36" s="28" t="n">
        <f aca="false">SUMIFS('Answer Key'!$G$5:$G$577,'Answer Key'!$I$5:$I$577,$A36,'Answer Key'!$H$5:$H$577,I$4)</f>
        <v>-1057421.95</v>
      </c>
      <c r="J36" s="28" t="n">
        <f aca="false">SUMIFS('Answer Key'!$G$5:$G$577,'Answer Key'!$I$5:$I$577,$A36,'Answer Key'!$H$5:$H$577,J$4)</f>
        <v>-1057421.95</v>
      </c>
      <c r="K36" s="28" t="n">
        <f aca="false">SUMIFS('Answer Key'!$G$5:$G$577,'Answer Key'!$I$5:$I$577,$A36,'Answer Key'!$H$5:$H$577,K$4)</f>
        <v>-1057421.95</v>
      </c>
      <c r="L36" s="28" t="n">
        <f aca="false">SUMIFS('Answer Key'!$G$5:$G$577,'Answer Key'!$I$5:$I$577,$A36,'Answer Key'!$H$5:$H$577,L$4)</f>
        <v>-1057421.95</v>
      </c>
      <c r="M36" s="28" t="n">
        <f aca="false">SUMIFS('Answer Key'!$G$5:$G$577,'Answer Key'!$I$5:$I$577,$A36,'Answer Key'!$H$5:$H$577,M$4)</f>
        <v>-1057421.95</v>
      </c>
      <c r="N36" s="28" t="n">
        <f aca="false">SUMIFS('Answer Key'!$G$5:$G$577,'Answer Key'!$I$5:$I$577,$A36,'Answer Key'!$H$5:$H$577,N$4)</f>
        <v>-1057421.95</v>
      </c>
      <c r="O36" s="29" t="n">
        <f aca="false">SUM(C36:N36)</f>
        <v>-9516797.55</v>
      </c>
    </row>
    <row r="37" customFormat="false" ht="15" hidden="false" customHeight="false" outlineLevel="0" collapsed="false">
      <c r="A37" s="3" t="s">
        <v>1930</v>
      </c>
      <c r="B37" s="3" t="s">
        <v>1920</v>
      </c>
      <c r="C37" s="28" t="n">
        <f aca="false">SUMIFS('Answer Key'!$G$5:$G$577,'Answer Key'!$I$5:$I$577,$A37,'Answer Key'!$H$5:$H$577,C$4)</f>
        <v>0</v>
      </c>
      <c r="D37" s="28" t="n">
        <f aca="false">SUMIFS('Answer Key'!$G$5:$G$577,'Answer Key'!$I$5:$I$577,$A37,'Answer Key'!$H$5:$H$577,D$4)</f>
        <v>0</v>
      </c>
      <c r="E37" s="28" t="n">
        <f aca="false">SUMIFS('Answer Key'!$G$5:$G$577,'Answer Key'!$I$5:$I$577,$A37,'Answer Key'!$H$5:$H$577,E$4)</f>
        <v>-215000</v>
      </c>
      <c r="F37" s="28" t="n">
        <f aca="false">SUMIFS('Answer Key'!$G$5:$G$577,'Answer Key'!$I$5:$I$577,$A37,'Answer Key'!$H$5:$H$577,F$4)</f>
        <v>0</v>
      </c>
      <c r="G37" s="28" t="n">
        <f aca="false">SUMIFS('Answer Key'!$G$5:$G$577,'Answer Key'!$I$5:$I$577,$A37,'Answer Key'!$H$5:$H$577,G$4)</f>
        <v>0</v>
      </c>
      <c r="H37" s="28" t="n">
        <f aca="false">SUMIFS('Answer Key'!$G$5:$G$577,'Answer Key'!$I$5:$I$577,$A37,'Answer Key'!$H$5:$H$577,H$4)</f>
        <v>0</v>
      </c>
      <c r="I37" s="28" t="n">
        <f aca="false">SUMIFS('Answer Key'!$G$5:$G$577,'Answer Key'!$I$5:$I$577,$A37,'Answer Key'!$H$5:$H$577,I$4)</f>
        <v>0</v>
      </c>
      <c r="J37" s="28" t="n">
        <f aca="false">SUMIFS('Answer Key'!$G$5:$G$577,'Answer Key'!$I$5:$I$577,$A37,'Answer Key'!$H$5:$H$577,J$4)</f>
        <v>0</v>
      </c>
      <c r="K37" s="28" t="n">
        <f aca="false">SUMIFS('Answer Key'!$G$5:$G$577,'Answer Key'!$I$5:$I$577,$A37,'Answer Key'!$H$5:$H$577,K$4)</f>
        <v>0</v>
      </c>
      <c r="L37" s="28" t="n">
        <f aca="false">SUMIFS('Answer Key'!$G$5:$G$577,'Answer Key'!$I$5:$I$577,$A37,'Answer Key'!$H$5:$H$577,L$4)</f>
        <v>0</v>
      </c>
      <c r="M37" s="28" t="n">
        <f aca="false">SUMIFS('Answer Key'!$G$5:$G$577,'Answer Key'!$I$5:$I$577,$A37,'Answer Key'!$H$5:$H$577,M$4)</f>
        <v>0</v>
      </c>
      <c r="N37" s="28" t="n">
        <f aca="false">SUMIFS('Answer Key'!$G$5:$G$577,'Answer Key'!$I$5:$I$577,$A37,'Answer Key'!$H$5:$H$577,N$4)</f>
        <v>0</v>
      </c>
      <c r="O37" s="29" t="n">
        <f aca="false">SUM(C37:N37)</f>
        <v>-215000</v>
      </c>
    </row>
    <row r="38" customFormat="false" ht="15" hidden="false" customHeight="false" outlineLevel="0" collapsed="false">
      <c r="A38" s="3" t="s">
        <v>1919</v>
      </c>
      <c r="B38" s="3" t="s">
        <v>1920</v>
      </c>
      <c r="C38" s="28" t="n">
        <f aca="false">SUMIFS('Answer Key'!$G$5:$G$577,'Answer Key'!$I$5:$I$577,$A38,'Answer Key'!$H$5:$H$577,C$4)</f>
        <v>0</v>
      </c>
      <c r="D38" s="28" t="n">
        <f aca="false">SUMIFS('Answer Key'!$G$5:$G$577,'Answer Key'!$I$5:$I$577,$A38,'Answer Key'!$H$5:$H$577,D$4)</f>
        <v>5000000</v>
      </c>
      <c r="E38" s="28" t="n">
        <f aca="false">SUMIFS('Answer Key'!$G$5:$G$577,'Answer Key'!$I$5:$I$577,$A38,'Answer Key'!$H$5:$H$577,E$4)</f>
        <v>0</v>
      </c>
      <c r="F38" s="28" t="n">
        <f aca="false">SUMIFS('Answer Key'!$G$5:$G$577,'Answer Key'!$I$5:$I$577,$A38,'Answer Key'!$H$5:$H$577,F$4)</f>
        <v>0</v>
      </c>
      <c r="G38" s="28" t="n">
        <f aca="false">SUMIFS('Answer Key'!$G$5:$G$577,'Answer Key'!$I$5:$I$577,$A38,'Answer Key'!$H$5:$H$577,G$4)</f>
        <v>0</v>
      </c>
      <c r="H38" s="28" t="n">
        <f aca="false">SUMIFS('Answer Key'!$G$5:$G$577,'Answer Key'!$I$5:$I$577,$A38,'Answer Key'!$H$5:$H$577,H$4)</f>
        <v>0</v>
      </c>
      <c r="I38" s="28" t="n">
        <f aca="false">SUMIFS('Answer Key'!$G$5:$G$577,'Answer Key'!$I$5:$I$577,$A38,'Answer Key'!$H$5:$H$577,I$4)</f>
        <v>0</v>
      </c>
      <c r="J38" s="28" t="n">
        <f aca="false">SUMIFS('Answer Key'!$G$5:$G$577,'Answer Key'!$I$5:$I$577,$A38,'Answer Key'!$H$5:$H$577,J$4)</f>
        <v>0</v>
      </c>
      <c r="K38" s="28" t="n">
        <f aca="false">SUMIFS('Answer Key'!$G$5:$G$577,'Answer Key'!$I$5:$I$577,$A38,'Answer Key'!$H$5:$H$577,K$4)</f>
        <v>0</v>
      </c>
      <c r="L38" s="28" t="n">
        <f aca="false">SUMIFS('Answer Key'!$G$5:$G$577,'Answer Key'!$I$5:$I$577,$A38,'Answer Key'!$H$5:$H$577,L$4)</f>
        <v>0</v>
      </c>
      <c r="M38" s="28" t="n">
        <f aca="false">SUMIFS('Answer Key'!$G$5:$G$577,'Answer Key'!$I$5:$I$577,$A38,'Answer Key'!$H$5:$H$577,M$4)</f>
        <v>0</v>
      </c>
      <c r="N38" s="28" t="n">
        <f aca="false">SUMIFS('Answer Key'!$G$5:$G$577,'Answer Key'!$I$5:$I$577,$A38,'Answer Key'!$H$5:$H$577,N$4)</f>
        <v>0</v>
      </c>
      <c r="O38" s="29" t="n">
        <f aca="false">SUM(C38:N38)</f>
        <v>5000000</v>
      </c>
    </row>
    <row r="39" customFormat="false" ht="15" hidden="false" customHeight="false" outlineLevel="0" collapsed="false">
      <c r="A39" s="3" t="s">
        <v>1970</v>
      </c>
      <c r="B39" s="3" t="s">
        <v>1920</v>
      </c>
      <c r="C39" s="28" t="n">
        <f aca="false">SUMIFS('Answer Key'!$G$5:$G$577,'Answer Key'!$I$5:$I$577,$A39,'Answer Key'!$H$5:$H$577,C$4)</f>
        <v>0</v>
      </c>
      <c r="D39" s="28" t="n">
        <f aca="false">SUMIFS('Answer Key'!$G$5:$G$577,'Answer Key'!$I$5:$I$577,$A39,'Answer Key'!$H$5:$H$577,D$4)</f>
        <v>0</v>
      </c>
      <c r="E39" s="28" t="n">
        <f aca="false">SUMIFS('Answer Key'!$G$5:$G$577,'Answer Key'!$I$5:$I$577,$A39,'Answer Key'!$H$5:$H$577,E$4)</f>
        <v>0</v>
      </c>
      <c r="F39" s="28" t="n">
        <f aca="false">SUMIFS('Answer Key'!$G$5:$G$577,'Answer Key'!$I$5:$I$577,$A39,'Answer Key'!$H$5:$H$577,F$4)</f>
        <v>0</v>
      </c>
      <c r="G39" s="28" t="n">
        <f aca="false">SUMIFS('Answer Key'!$G$5:$G$577,'Answer Key'!$I$5:$I$577,$A39,'Answer Key'!$H$5:$H$577,G$4)</f>
        <v>0</v>
      </c>
      <c r="H39" s="28" t="n">
        <f aca="false">SUMIFS('Answer Key'!$G$5:$G$577,'Answer Key'!$I$5:$I$577,$A39,'Answer Key'!$H$5:$H$577,H$4)</f>
        <v>0</v>
      </c>
      <c r="I39" s="28" t="n">
        <f aca="false">SUMIFS('Answer Key'!$G$5:$G$577,'Answer Key'!$I$5:$I$577,$A39,'Answer Key'!$H$5:$H$577,I$4)</f>
        <v>0</v>
      </c>
      <c r="J39" s="28" t="n">
        <f aca="false">SUMIFS('Answer Key'!$G$5:$G$577,'Answer Key'!$I$5:$I$577,$A39,'Answer Key'!$H$5:$H$577,J$4)</f>
        <v>0</v>
      </c>
      <c r="K39" s="28" t="n">
        <f aca="false">SUMIFS('Answer Key'!$G$5:$G$577,'Answer Key'!$I$5:$I$577,$A39,'Answer Key'!$H$5:$H$577,K$4)</f>
        <v>3000000</v>
      </c>
      <c r="L39" s="28" t="n">
        <f aca="false">SUMIFS('Answer Key'!$G$5:$G$577,'Answer Key'!$I$5:$I$577,$A39,'Answer Key'!$H$5:$H$577,L$4)</f>
        <v>0</v>
      </c>
      <c r="M39" s="28" t="n">
        <f aca="false">SUMIFS('Answer Key'!$G$5:$G$577,'Answer Key'!$I$5:$I$577,$A39,'Answer Key'!$H$5:$H$577,M$4)</f>
        <v>0</v>
      </c>
      <c r="N39" s="28" t="n">
        <f aca="false">SUMIFS('Answer Key'!$G$5:$G$577,'Answer Key'!$I$5:$I$577,$A39,'Answer Key'!$H$5:$H$577,N$4)</f>
        <v>0</v>
      </c>
      <c r="O39" s="29" t="n">
        <f aca="false">SUM(C39:N39)</f>
        <v>3000000</v>
      </c>
    </row>
    <row r="40" customFormat="false" ht="15" hidden="false" customHeight="false" outlineLevel="0" collapsed="false">
      <c r="A40" s="3" t="s">
        <v>1978</v>
      </c>
      <c r="B40" s="3" t="s">
        <v>1920</v>
      </c>
      <c r="C40" s="28" t="n">
        <f aca="false">SUMIFS('Answer Key'!$G$5:$G$577,'Answer Key'!$I$5:$I$577,$A40,'Answer Key'!$H$5:$H$577,C$4)</f>
        <v>0</v>
      </c>
      <c r="D40" s="28" t="n">
        <f aca="false">SUMIFS('Answer Key'!$G$5:$G$577,'Answer Key'!$I$5:$I$577,$A40,'Answer Key'!$H$5:$H$577,D$4)</f>
        <v>0</v>
      </c>
      <c r="E40" s="28" t="n">
        <f aca="false">SUMIFS('Answer Key'!$G$5:$G$577,'Answer Key'!$I$5:$I$577,$A40,'Answer Key'!$H$5:$H$577,E$4)</f>
        <v>0</v>
      </c>
      <c r="F40" s="28" t="n">
        <f aca="false">SUMIFS('Answer Key'!$G$5:$G$577,'Answer Key'!$I$5:$I$577,$A40,'Answer Key'!$H$5:$H$577,F$4)</f>
        <v>0</v>
      </c>
      <c r="G40" s="28" t="n">
        <f aca="false">SUMIFS('Answer Key'!$G$5:$G$577,'Answer Key'!$I$5:$I$577,$A40,'Answer Key'!$H$5:$H$577,G$4)</f>
        <v>0</v>
      </c>
      <c r="H40" s="28" t="n">
        <f aca="false">SUMIFS('Answer Key'!$G$5:$G$577,'Answer Key'!$I$5:$I$577,$A40,'Answer Key'!$H$5:$H$577,H$4)</f>
        <v>0</v>
      </c>
      <c r="I40" s="28" t="n">
        <f aca="false">SUMIFS('Answer Key'!$G$5:$G$577,'Answer Key'!$I$5:$I$577,$A40,'Answer Key'!$H$5:$H$577,I$4)</f>
        <v>0</v>
      </c>
      <c r="J40" s="28" t="n">
        <f aca="false">SUMIFS('Answer Key'!$G$5:$G$577,'Answer Key'!$I$5:$I$577,$A40,'Answer Key'!$H$5:$H$577,J$4)</f>
        <v>0</v>
      </c>
      <c r="K40" s="28" t="n">
        <f aca="false">SUMIFS('Answer Key'!$G$5:$G$577,'Answer Key'!$I$5:$I$577,$A40,'Answer Key'!$H$5:$H$577,K$4)</f>
        <v>0</v>
      </c>
      <c r="L40" s="28" t="n">
        <f aca="false">SUMIFS('Answer Key'!$G$5:$G$577,'Answer Key'!$I$5:$I$577,$A40,'Answer Key'!$H$5:$H$577,L$4)</f>
        <v>0</v>
      </c>
      <c r="M40" s="28" t="n">
        <f aca="false">SUMIFS('Answer Key'!$G$5:$G$577,'Answer Key'!$I$5:$I$577,$A40,'Answer Key'!$H$5:$H$577,M$4)</f>
        <v>-1500000</v>
      </c>
      <c r="N40" s="28" t="n">
        <f aca="false">SUMIFS('Answer Key'!$G$5:$G$577,'Answer Key'!$I$5:$I$577,$A40,'Answer Key'!$H$5:$H$577,N$4)</f>
        <v>0</v>
      </c>
      <c r="O40" s="29" t="n">
        <f aca="false">SUM(C40:N40)</f>
        <v>-1500000</v>
      </c>
    </row>
    <row r="41" customFormat="false" ht="15" hidden="false" customHeight="false" outlineLevel="0" collapsed="false">
      <c r="A41" s="3" t="s">
        <v>1923</v>
      </c>
      <c r="B41" s="3" t="s">
        <v>1920</v>
      </c>
      <c r="C41" s="28" t="n">
        <f aca="false">SUMIFS('Answer Key'!$G$5:$G$577,'Answer Key'!$I$5:$I$577,$A41,'Answer Key'!$H$5:$H$577,C$4)</f>
        <v>0</v>
      </c>
      <c r="D41" s="28" t="n">
        <f aca="false">SUMIFS('Answer Key'!$G$5:$G$577,'Answer Key'!$I$5:$I$577,$A41,'Answer Key'!$H$5:$H$577,D$4)</f>
        <v>-600000</v>
      </c>
      <c r="E41" s="28" t="n">
        <f aca="false">SUMIFS('Answer Key'!$G$5:$G$577,'Answer Key'!$I$5:$I$577,$A41,'Answer Key'!$H$5:$H$577,E$4)</f>
        <v>0</v>
      </c>
      <c r="F41" s="28" t="n">
        <f aca="false">SUMIFS('Answer Key'!$G$5:$G$577,'Answer Key'!$I$5:$I$577,$A41,'Answer Key'!$H$5:$H$577,F$4)</f>
        <v>-900000</v>
      </c>
      <c r="G41" s="28" t="n">
        <f aca="false">SUMIFS('Answer Key'!$G$5:$G$577,'Answer Key'!$I$5:$I$577,$A41,'Answer Key'!$H$5:$H$577,G$4)</f>
        <v>0</v>
      </c>
      <c r="H41" s="28" t="n">
        <f aca="false">SUMIFS('Answer Key'!$G$5:$G$577,'Answer Key'!$I$5:$I$577,$A41,'Answer Key'!$H$5:$H$577,H$4)</f>
        <v>-750000</v>
      </c>
      <c r="I41" s="28" t="n">
        <f aca="false">SUMIFS('Answer Key'!$G$5:$G$577,'Answer Key'!$I$5:$I$577,$A41,'Answer Key'!$H$5:$H$577,I$4)</f>
        <v>0</v>
      </c>
      <c r="J41" s="28" t="n">
        <f aca="false">SUMIFS('Answer Key'!$G$5:$G$577,'Answer Key'!$I$5:$I$577,$A41,'Answer Key'!$H$5:$H$577,J$4)</f>
        <v>-1350000</v>
      </c>
      <c r="K41" s="28" t="n">
        <f aca="false">SUMIFS('Answer Key'!$G$5:$G$577,'Answer Key'!$I$5:$I$577,$A41,'Answer Key'!$H$5:$H$577,K$4)</f>
        <v>0</v>
      </c>
      <c r="L41" s="28" t="n">
        <f aca="false">SUMIFS('Answer Key'!$G$5:$G$577,'Answer Key'!$I$5:$I$577,$A41,'Answer Key'!$H$5:$H$577,L$4)</f>
        <v>-1000000</v>
      </c>
      <c r="M41" s="28" t="n">
        <f aca="false">SUMIFS('Answer Key'!$G$5:$G$577,'Answer Key'!$I$5:$I$577,$A41,'Answer Key'!$H$5:$H$577,M$4)</f>
        <v>0</v>
      </c>
      <c r="N41" s="28" t="n">
        <f aca="false">SUMIFS('Answer Key'!$G$5:$G$577,'Answer Key'!$I$5:$I$577,$A41,'Answer Key'!$H$5:$H$577,N$4)</f>
        <v>-1500000</v>
      </c>
      <c r="O41" s="29" t="n">
        <f aca="false">SUM(C41:N41)</f>
        <v>-6100000</v>
      </c>
    </row>
    <row r="42" customFormat="false" ht="15" hidden="false" customHeight="false" outlineLevel="0" collapsed="false">
      <c r="A42" s="3" t="s">
        <v>1953</v>
      </c>
      <c r="B42" s="3" t="s">
        <v>1926</v>
      </c>
      <c r="C42" s="28" t="n">
        <f aca="false">SUMIFS('Answer Key'!$G$5:$G$577,'Answer Key'!$I$5:$I$577,$A42,'Answer Key'!$H$5:$H$577,C$4)</f>
        <v>0</v>
      </c>
      <c r="D42" s="28" t="n">
        <f aca="false">SUMIFS('Answer Key'!$G$5:$G$577,'Answer Key'!$I$5:$I$577,$A42,'Answer Key'!$H$5:$H$577,D$4)</f>
        <v>0</v>
      </c>
      <c r="E42" s="28" t="n">
        <f aca="false">SUMIFS('Answer Key'!$G$5:$G$577,'Answer Key'!$I$5:$I$577,$A42,'Answer Key'!$H$5:$H$577,E$4)</f>
        <v>0</v>
      </c>
      <c r="F42" s="28" t="n">
        <f aca="false">SUMIFS('Answer Key'!$G$5:$G$577,'Answer Key'!$I$5:$I$577,$A42,'Answer Key'!$H$5:$H$577,F$4)</f>
        <v>0</v>
      </c>
      <c r="G42" s="28" t="n">
        <f aca="false">SUMIFS('Answer Key'!$G$5:$G$577,'Answer Key'!$I$5:$I$577,$A42,'Answer Key'!$H$5:$H$577,G$4)</f>
        <v>0</v>
      </c>
      <c r="H42" s="28" t="n">
        <f aca="false">SUMIFS('Answer Key'!$G$5:$G$577,'Answer Key'!$I$5:$I$577,$A42,'Answer Key'!$H$5:$H$577,H$4)</f>
        <v>-5000000</v>
      </c>
      <c r="I42" s="28" t="n">
        <f aca="false">SUMIFS('Answer Key'!$G$5:$G$577,'Answer Key'!$I$5:$I$577,$A42,'Answer Key'!$H$5:$H$577,I$4)</f>
        <v>0</v>
      </c>
      <c r="J42" s="28" t="n">
        <f aca="false">SUMIFS('Answer Key'!$G$5:$G$577,'Answer Key'!$I$5:$I$577,$A42,'Answer Key'!$H$5:$H$577,J$4)</f>
        <v>0</v>
      </c>
      <c r="K42" s="28" t="n">
        <f aca="false">SUMIFS('Answer Key'!$G$5:$G$577,'Answer Key'!$I$5:$I$577,$A42,'Answer Key'!$H$5:$H$577,K$4)</f>
        <v>0</v>
      </c>
      <c r="L42" s="28" t="n">
        <f aca="false">SUMIFS('Answer Key'!$G$5:$G$577,'Answer Key'!$I$5:$I$577,$A42,'Answer Key'!$H$5:$H$577,L$4)</f>
        <v>5000000</v>
      </c>
      <c r="M42" s="28" t="n">
        <f aca="false">SUMIFS('Answer Key'!$G$5:$G$577,'Answer Key'!$I$5:$I$577,$A42,'Answer Key'!$H$5:$H$577,M$4)</f>
        <v>0</v>
      </c>
      <c r="N42" s="28" t="n">
        <f aca="false">SUMIFS('Answer Key'!$G$5:$G$577,'Answer Key'!$I$5:$I$577,$A42,'Answer Key'!$H$5:$H$577,N$4)</f>
        <v>0</v>
      </c>
      <c r="O42" s="29" t="n">
        <f aca="false">SUM(C42:N42)</f>
        <v>0</v>
      </c>
    </row>
    <row r="43" customFormat="false" ht="15" hidden="false" customHeight="false" outlineLevel="0" collapsed="false">
      <c r="A43" s="3" t="s">
        <v>1957</v>
      </c>
      <c r="B43" s="3" t="s">
        <v>1926</v>
      </c>
      <c r="C43" s="28" t="n">
        <f aca="false">SUMIFS('Answer Key'!$G$5:$G$577,'Answer Key'!$I$5:$I$577,$A43,'Answer Key'!$H$5:$H$577,C$4)</f>
        <v>0</v>
      </c>
      <c r="D43" s="28" t="n">
        <f aca="false">SUMIFS('Answer Key'!$G$5:$G$577,'Answer Key'!$I$5:$I$577,$A43,'Answer Key'!$H$5:$H$577,D$4)</f>
        <v>0</v>
      </c>
      <c r="E43" s="28" t="n">
        <f aca="false">SUMIFS('Answer Key'!$G$5:$G$577,'Answer Key'!$I$5:$I$577,$A43,'Answer Key'!$H$5:$H$577,E$4)</f>
        <v>0</v>
      </c>
      <c r="F43" s="28" t="n">
        <f aca="false">SUMIFS('Answer Key'!$G$5:$G$577,'Answer Key'!$I$5:$I$577,$A43,'Answer Key'!$H$5:$H$577,F$4)</f>
        <v>0</v>
      </c>
      <c r="G43" s="28" t="n">
        <f aca="false">SUMIFS('Answer Key'!$G$5:$G$577,'Answer Key'!$I$5:$I$577,$A43,'Answer Key'!$H$5:$H$577,G$4)</f>
        <v>0</v>
      </c>
      <c r="H43" s="28" t="n">
        <f aca="false">SUMIFS('Answer Key'!$G$5:$G$577,'Answer Key'!$I$5:$I$577,$A43,'Answer Key'!$H$5:$H$577,H$4)</f>
        <v>0</v>
      </c>
      <c r="I43" s="28" t="n">
        <f aca="false">SUMIFS('Answer Key'!$G$5:$G$577,'Answer Key'!$I$5:$I$577,$A43,'Answer Key'!$H$5:$H$577,I$4)</f>
        <v>0</v>
      </c>
      <c r="J43" s="28" t="n">
        <f aca="false">SUMIFS('Answer Key'!$G$5:$G$577,'Answer Key'!$I$5:$I$577,$A43,'Answer Key'!$H$5:$H$577,J$4)</f>
        <v>0</v>
      </c>
      <c r="K43" s="28" t="n">
        <f aca="false">SUMIFS('Answer Key'!$G$5:$G$577,'Answer Key'!$I$5:$I$577,$A43,'Answer Key'!$H$5:$H$577,K$4)</f>
        <v>0</v>
      </c>
      <c r="L43" s="28" t="n">
        <f aca="false">SUMIFS('Answer Key'!$G$5:$G$577,'Answer Key'!$I$5:$I$577,$A43,'Answer Key'!$H$5:$H$577,L$4)</f>
        <v>0</v>
      </c>
      <c r="M43" s="28" t="n">
        <f aca="false">SUMIFS('Answer Key'!$G$5:$G$577,'Answer Key'!$I$5:$I$577,$A43,'Answer Key'!$H$5:$H$577,M$4)</f>
        <v>0</v>
      </c>
      <c r="N43" s="28" t="n">
        <f aca="false">SUMIFS('Answer Key'!$G$5:$G$577,'Answer Key'!$I$5:$I$577,$A43,'Answer Key'!$H$5:$H$577,N$4)</f>
        <v>0</v>
      </c>
      <c r="O43" s="29" t="n">
        <f aca="false">SUM(C43:N43)</f>
        <v>0</v>
      </c>
    </row>
    <row r="44" customFormat="false" ht="15" hidden="false" customHeight="false" outlineLevel="0" collapsed="false">
      <c r="A44" s="3" t="s">
        <v>1925</v>
      </c>
      <c r="B44" s="3" t="s">
        <v>1926</v>
      </c>
      <c r="C44" s="28" t="n">
        <f aca="false">SUMIFS('Answer Key'!$G$5:$G$577,'Answer Key'!$I$5:$I$577,$A44,'Answer Key'!$H$5:$H$577,C$4)</f>
        <v>0</v>
      </c>
      <c r="D44" s="28" t="n">
        <f aca="false">SUMIFS('Answer Key'!$G$5:$G$577,'Answer Key'!$I$5:$I$577,$A44,'Answer Key'!$H$5:$H$577,D$4)</f>
        <v>0</v>
      </c>
      <c r="E44" s="28" t="n">
        <f aca="false">SUMIFS('Answer Key'!$G$5:$G$577,'Answer Key'!$I$5:$I$577,$A44,'Answer Key'!$H$5:$H$577,E$4)</f>
        <v>1250000</v>
      </c>
      <c r="F44" s="28" t="n">
        <f aca="false">SUMIFS('Answer Key'!$G$5:$G$577,'Answer Key'!$I$5:$I$577,$A44,'Answer Key'!$H$5:$H$577,F$4)</f>
        <v>0</v>
      </c>
      <c r="G44" s="28" t="n">
        <f aca="false">SUMIFS('Answer Key'!$G$5:$G$577,'Answer Key'!$I$5:$I$577,$A44,'Answer Key'!$H$5:$H$577,G$4)</f>
        <v>0</v>
      </c>
      <c r="H44" s="28" t="n">
        <f aca="false">SUMIFS('Answer Key'!$G$5:$G$577,'Answer Key'!$I$5:$I$577,$A44,'Answer Key'!$H$5:$H$577,H$4)</f>
        <v>-275000</v>
      </c>
      <c r="I44" s="28" t="n">
        <f aca="false">SUMIFS('Answer Key'!$G$5:$G$577,'Answer Key'!$I$5:$I$577,$A44,'Answer Key'!$H$5:$H$577,I$4)</f>
        <v>0</v>
      </c>
      <c r="J44" s="28" t="n">
        <f aca="false">SUMIFS('Answer Key'!$G$5:$G$577,'Answer Key'!$I$5:$I$577,$A44,'Answer Key'!$H$5:$H$577,J$4)</f>
        <v>0</v>
      </c>
      <c r="K44" s="28" t="n">
        <f aca="false">SUMIFS('Answer Key'!$G$5:$G$577,'Answer Key'!$I$5:$I$577,$A44,'Answer Key'!$H$5:$H$577,K$4)</f>
        <v>3300000</v>
      </c>
      <c r="L44" s="28" t="n">
        <f aca="false">SUMIFS('Answer Key'!$G$5:$G$577,'Answer Key'!$I$5:$I$577,$A44,'Answer Key'!$H$5:$H$577,L$4)</f>
        <v>-640000</v>
      </c>
      <c r="M44" s="28" t="n">
        <f aca="false">SUMIFS('Answer Key'!$G$5:$G$577,'Answer Key'!$I$5:$I$577,$A44,'Answer Key'!$H$5:$H$577,M$4)</f>
        <v>0</v>
      </c>
      <c r="N44" s="28" t="n">
        <f aca="false">SUMIFS('Answer Key'!$G$5:$G$577,'Answer Key'!$I$5:$I$577,$A44,'Answer Key'!$H$5:$H$577,N$4)</f>
        <v>0</v>
      </c>
      <c r="O44" s="29" t="n">
        <f aca="false">SUM(C44:N44)</f>
        <v>3635000</v>
      </c>
    </row>
    <row r="46" customFormat="false" ht="15" hidden="false" customHeight="false" outlineLevel="0" collapsed="false">
      <c r="A46" s="20" t="s">
        <v>2125</v>
      </c>
    </row>
    <row r="47" customFormat="false" ht="15" hidden="false" customHeight="false" outlineLevel="0" collapsed="false">
      <c r="A47" s="3" t="s">
        <v>2126</v>
      </c>
      <c r="C47" s="28" t="n">
        <f aca="false">SUMIFS(C$6:C$44,$B$6:$B$44,"Operating")</f>
        <v>-199833.13</v>
      </c>
      <c r="D47" s="28" t="n">
        <f aca="false">SUMIFS(D$6:D$44,$B$6:$B$44,"Operating")</f>
        <v>18784910.92</v>
      </c>
      <c r="E47" s="28" t="n">
        <f aca="false">SUMIFS(E$6:E$44,$B$6:$B$44,"Operating")</f>
        <v>8008348.42</v>
      </c>
      <c r="F47" s="28" t="n">
        <f aca="false">SUMIFS(F$6:F$44,$B$6:$B$44,"Operating")</f>
        <v>-1657124.84</v>
      </c>
      <c r="G47" s="28" t="n">
        <f aca="false">SUMIFS(G$6:G$44,$B$6:$B$44,"Operating")</f>
        <v>12479350.03</v>
      </c>
      <c r="H47" s="28" t="n">
        <f aca="false">SUMIFS(H$6:H$44,$B$6:$B$44,"Operating")</f>
        <v>1859826.79</v>
      </c>
      <c r="I47" s="28" t="n">
        <f aca="false">SUMIFS(I$6:I$44,$B$6:$B$44,"Operating")</f>
        <v>10875343.12</v>
      </c>
      <c r="J47" s="28" t="n">
        <f aca="false">SUMIFS(J$6:J$44,$B$6:$B$44,"Operating")</f>
        <v>6470859.3</v>
      </c>
      <c r="K47" s="28" t="n">
        <f aca="false">SUMIFS(K$6:K$44,$B$6:$B$44,"Operating")</f>
        <v>19591639</v>
      </c>
      <c r="L47" s="28" t="n">
        <f aca="false">SUMIFS(L$6:L$44,$B$6:$B$44,"Operating")</f>
        <v>4173794.67</v>
      </c>
      <c r="M47" s="28" t="n">
        <f aca="false">SUMIFS(M$6:M$44,$B$6:$B$44,"Operating")</f>
        <v>8162418.25</v>
      </c>
      <c r="N47" s="28" t="n">
        <f aca="false">SUMIFS(N$6:N$44,$B$6:$B$44,"Operating")</f>
        <v>17959351.38</v>
      </c>
      <c r="O47" s="28" t="n">
        <f aca="false">SUMIFS(O$6:O$44,$B$6:$B$44,"Operating")</f>
        <v>106508883.91</v>
      </c>
    </row>
    <row r="48" customFormat="false" ht="15" hidden="false" customHeight="false" outlineLevel="0" collapsed="false">
      <c r="A48" s="3" t="s">
        <v>2127</v>
      </c>
      <c r="C48" s="28" t="n">
        <f aca="false">SUMIFS(C$6:C$44,$B$6:$B$44,"Investing")</f>
        <v>0</v>
      </c>
      <c r="D48" s="28" t="n">
        <f aca="false">SUMIFS(D$6:D$44,$B$6:$B$44,"Investing")</f>
        <v>-3500000</v>
      </c>
      <c r="E48" s="28" t="n">
        <f aca="false">SUMIFS(E$6:E$44,$B$6:$B$44,"Investing")</f>
        <v>0</v>
      </c>
      <c r="F48" s="28" t="n">
        <f aca="false">SUMIFS(F$6:F$44,$B$6:$B$44,"Investing")</f>
        <v>0</v>
      </c>
      <c r="G48" s="28" t="n">
        <f aca="false">SUMIFS(G$6:G$44,$B$6:$B$44,"Investing")</f>
        <v>0</v>
      </c>
      <c r="H48" s="28" t="n">
        <f aca="false">SUMIFS(H$6:H$44,$B$6:$B$44,"Investing")</f>
        <v>-8000000</v>
      </c>
      <c r="I48" s="28" t="n">
        <f aca="false">SUMIFS(I$6:I$44,$B$6:$B$44,"Investing")</f>
        <v>-10000000</v>
      </c>
      <c r="J48" s="28" t="n">
        <f aca="false">SUMIFS(J$6:J$44,$B$6:$B$44,"Investing")</f>
        <v>0</v>
      </c>
      <c r="K48" s="28" t="n">
        <f aca="false">SUMIFS(K$6:K$44,$B$6:$B$44,"Investing")</f>
        <v>0</v>
      </c>
      <c r="L48" s="28" t="n">
        <f aca="false">SUMIFS(L$6:L$44,$B$6:$B$44,"Investing")</f>
        <v>0</v>
      </c>
      <c r="M48" s="28" t="n">
        <f aca="false">SUMIFS(M$6:M$44,$B$6:$B$44,"Investing")</f>
        <v>0</v>
      </c>
      <c r="N48" s="28" t="n">
        <f aca="false">SUMIFS(N$6:N$44,$B$6:$B$44,"Investing")</f>
        <v>0</v>
      </c>
      <c r="O48" s="28" t="n">
        <f aca="false">SUMIFS(O$6:O$44,$B$6:$B$44,"Investing")</f>
        <v>-21500000</v>
      </c>
    </row>
    <row r="49" customFormat="false" ht="15" hidden="false" customHeight="false" outlineLevel="0" collapsed="false">
      <c r="A49" s="3" t="s">
        <v>2128</v>
      </c>
      <c r="C49" s="28" t="n">
        <f aca="false">SUMIFS(C$6:C$44,$B$6:$B$44,"Financing")</f>
        <v>0</v>
      </c>
      <c r="D49" s="28" t="n">
        <f aca="false">SUMIFS(D$6:D$44,$B$6:$B$44,"Financing")</f>
        <v>4400000</v>
      </c>
      <c r="E49" s="28" t="n">
        <f aca="false">SUMIFS(E$6:E$44,$B$6:$B$44,"Financing")</f>
        <v>19785000</v>
      </c>
      <c r="F49" s="28" t="n">
        <f aca="false">SUMIFS(F$6:F$44,$B$6:$B$44,"Financing")</f>
        <v>-1957421.95</v>
      </c>
      <c r="G49" s="28" t="n">
        <f aca="false">SUMIFS(G$6:G$44,$B$6:$B$44,"Financing")</f>
        <v>-1057421.95</v>
      </c>
      <c r="H49" s="28" t="n">
        <f aca="false">SUMIFS(H$6:H$44,$B$6:$B$44,"Financing")</f>
        <v>-1807421.95</v>
      </c>
      <c r="I49" s="28" t="n">
        <f aca="false">SUMIFS(I$6:I$44,$B$6:$B$44,"Financing")</f>
        <v>-1057421.95</v>
      </c>
      <c r="J49" s="28" t="n">
        <f aca="false">SUMIFS(J$6:J$44,$B$6:$B$44,"Financing")</f>
        <v>-2407421.95</v>
      </c>
      <c r="K49" s="28" t="n">
        <f aca="false">SUMIFS(K$6:K$44,$B$6:$B$44,"Financing")</f>
        <v>1942578.05</v>
      </c>
      <c r="L49" s="28" t="n">
        <f aca="false">SUMIFS(L$6:L$44,$B$6:$B$44,"Financing")</f>
        <v>-2057421.95</v>
      </c>
      <c r="M49" s="28" t="n">
        <f aca="false">SUMIFS(M$6:M$44,$B$6:$B$44,"Financing")</f>
        <v>-2557421.95</v>
      </c>
      <c r="N49" s="28" t="n">
        <f aca="false">SUMIFS(N$6:N$44,$B$6:$B$44,"Financing")</f>
        <v>-2557421.95</v>
      </c>
      <c r="O49" s="28" t="n">
        <f aca="false">SUMIFS(O$6:O$44,$B$6:$B$44,"Financing")</f>
        <v>10668202.45</v>
      </c>
    </row>
    <row r="50" customFormat="false" ht="15" hidden="false" customHeight="false" outlineLevel="0" collapsed="false">
      <c r="A50" s="3" t="s">
        <v>2129</v>
      </c>
      <c r="C50" s="28" t="n">
        <f aca="false">SUMIFS(C$6:C$44,$B$6:$B$44,"Other / Suspense")</f>
        <v>0</v>
      </c>
      <c r="D50" s="28" t="n">
        <f aca="false">SUMIFS(D$6:D$44,$B$6:$B$44,"Other / Suspense")</f>
        <v>0</v>
      </c>
      <c r="E50" s="28" t="n">
        <f aca="false">SUMIFS(E$6:E$44,$B$6:$B$44,"Other / Suspense")</f>
        <v>1250000</v>
      </c>
      <c r="F50" s="28" t="n">
        <f aca="false">SUMIFS(F$6:F$44,$B$6:$B$44,"Other / Suspense")</f>
        <v>0</v>
      </c>
      <c r="G50" s="28" t="n">
        <f aca="false">SUMIFS(G$6:G$44,$B$6:$B$44,"Other / Suspense")</f>
        <v>0</v>
      </c>
      <c r="H50" s="28" t="n">
        <f aca="false">SUMIFS(H$6:H$44,$B$6:$B$44,"Other / Suspense")</f>
        <v>-5275000</v>
      </c>
      <c r="I50" s="28" t="n">
        <f aca="false">SUMIFS(I$6:I$44,$B$6:$B$44,"Other / Suspense")</f>
        <v>0</v>
      </c>
      <c r="J50" s="28" t="n">
        <f aca="false">SUMIFS(J$6:J$44,$B$6:$B$44,"Other / Suspense")</f>
        <v>0</v>
      </c>
      <c r="K50" s="28" t="n">
        <f aca="false">SUMIFS(K$6:K$44,$B$6:$B$44,"Other / Suspense")</f>
        <v>3300000</v>
      </c>
      <c r="L50" s="28" t="n">
        <f aca="false">SUMIFS(L$6:L$44,$B$6:$B$44,"Other / Suspense")</f>
        <v>4360000</v>
      </c>
      <c r="M50" s="28" t="n">
        <f aca="false">SUMIFS(M$6:M$44,$B$6:$B$44,"Other / Suspense")</f>
        <v>0</v>
      </c>
      <c r="N50" s="28" t="n">
        <f aca="false">SUMIFS(N$6:N$44,$B$6:$B$44,"Other / Suspense")</f>
        <v>0</v>
      </c>
      <c r="O50" s="28" t="n">
        <f aca="false">SUMIFS(O$6:O$44,$B$6:$B$44,"Other / Suspense")</f>
        <v>3635000</v>
      </c>
    </row>
    <row r="51" customFormat="false" ht="15" hidden="false" customHeight="false" outlineLevel="0" collapsed="false">
      <c r="A51" s="2" t="s">
        <v>2130</v>
      </c>
      <c r="C51" s="29" t="n">
        <f aca="false">SUM(C47:C50)</f>
        <v>-199833.13</v>
      </c>
      <c r="D51" s="29" t="n">
        <f aca="false">SUM(D47:D50)</f>
        <v>19684910.92</v>
      </c>
      <c r="E51" s="29" t="n">
        <f aca="false">SUM(E47:E50)</f>
        <v>29043348.42</v>
      </c>
      <c r="F51" s="29" t="n">
        <f aca="false">SUM(F47:F50)</f>
        <v>-3614546.79</v>
      </c>
      <c r="G51" s="29" t="n">
        <f aca="false">SUM(G47:G50)</f>
        <v>11421928.08</v>
      </c>
      <c r="H51" s="29" t="n">
        <f aca="false">SUM(H47:H50)</f>
        <v>-13222595.16</v>
      </c>
      <c r="I51" s="29" t="n">
        <f aca="false">SUM(I47:I50)</f>
        <v>-182078.830000001</v>
      </c>
      <c r="J51" s="29" t="n">
        <f aca="false">SUM(J47:J50)</f>
        <v>4063437.35</v>
      </c>
      <c r="K51" s="29" t="n">
        <f aca="false">SUM(K47:K50)</f>
        <v>24834217.05</v>
      </c>
      <c r="L51" s="29" t="n">
        <f aca="false">SUM(L47:L50)</f>
        <v>6476372.72</v>
      </c>
      <c r="M51" s="29" t="n">
        <f aca="false">SUM(M47:M50)</f>
        <v>5604996.3</v>
      </c>
      <c r="N51" s="29" t="n">
        <f aca="false">SUM(N47:N50)</f>
        <v>15401929.43</v>
      </c>
      <c r="O51" s="29" t="n">
        <f aca="false">SUM(O47:O50)</f>
        <v>99312086.36</v>
      </c>
    </row>
    <row r="52" customFormat="false" ht="15" hidden="false" customHeight="false" outlineLevel="0" collapsed="false">
      <c r="A52" s="3" t="s">
        <v>2131</v>
      </c>
      <c r="C52" s="28" t="n">
        <f aca="false">'Bank Statement'!$H$3</f>
        <v>12500000</v>
      </c>
      <c r="D52" s="28" t="n">
        <f aca="false">C53</f>
        <v>12300166.87</v>
      </c>
      <c r="E52" s="28" t="n">
        <f aca="false">D53</f>
        <v>31985077.79</v>
      </c>
      <c r="F52" s="28" t="n">
        <f aca="false">E53</f>
        <v>61028426.21</v>
      </c>
      <c r="G52" s="28" t="n">
        <f aca="false">F53</f>
        <v>57413879.42</v>
      </c>
      <c r="H52" s="28" t="n">
        <f aca="false">G53</f>
        <v>68835807.5</v>
      </c>
      <c r="I52" s="28" t="n">
        <f aca="false">H53</f>
        <v>55613212.34</v>
      </c>
      <c r="J52" s="28" t="n">
        <f aca="false">I53</f>
        <v>55431133.51</v>
      </c>
      <c r="K52" s="28" t="n">
        <f aca="false">J53</f>
        <v>59494570.86</v>
      </c>
      <c r="L52" s="28" t="n">
        <f aca="false">K53</f>
        <v>84328787.91</v>
      </c>
      <c r="M52" s="28" t="n">
        <f aca="false">L53</f>
        <v>90805160.63</v>
      </c>
      <c r="N52" s="28" t="n">
        <f aca="false">M53</f>
        <v>96410156.93</v>
      </c>
    </row>
    <row r="53" customFormat="false" ht="15" hidden="false" customHeight="false" outlineLevel="0" collapsed="false">
      <c r="A53" s="2" t="s">
        <v>2132</v>
      </c>
      <c r="C53" s="29" t="n">
        <f aca="false">C52+C51</f>
        <v>12300166.87</v>
      </c>
      <c r="D53" s="29" t="n">
        <f aca="false">D52+D51</f>
        <v>31985077.79</v>
      </c>
      <c r="E53" s="29" t="n">
        <f aca="false">E52+E51</f>
        <v>61028426.21</v>
      </c>
      <c r="F53" s="29" t="n">
        <f aca="false">F52+F51</f>
        <v>57413879.42</v>
      </c>
      <c r="G53" s="29" t="n">
        <f aca="false">G52+G51</f>
        <v>68835807.5</v>
      </c>
      <c r="H53" s="29" t="n">
        <f aca="false">H52+H51</f>
        <v>55613212.34</v>
      </c>
      <c r="I53" s="29" t="n">
        <f aca="false">I52+I51</f>
        <v>55431133.51</v>
      </c>
      <c r="J53" s="29" t="n">
        <f aca="false">J52+J51</f>
        <v>59494570.86</v>
      </c>
      <c r="K53" s="29" t="n">
        <f aca="false">K52+K51</f>
        <v>84328787.91</v>
      </c>
      <c r="L53" s="29" t="n">
        <f aca="false">L52+L51</f>
        <v>90805160.63</v>
      </c>
      <c r="M53" s="29" t="n">
        <f aca="false">M52+M51</f>
        <v>96410156.93</v>
      </c>
      <c r="N53" s="29" t="n">
        <f aca="false">N52+N51</f>
        <v>111812086.36</v>
      </c>
    </row>
    <row r="55" customFormat="false" ht="15" hidden="false" customHeight="false" outlineLevel="0" collapsed="false">
      <c r="A55" s="2" t="s">
        <v>2133</v>
      </c>
      <c r="N55" s="30" t="n">
        <f aca="false">ROUND(N53-'Bank Statement'!H581,2)</f>
        <v>0</v>
      </c>
    </row>
    <row r="57" customFormat="false" ht="15" hidden="false" customHeight="false" outlineLevel="0" collapsed="false">
      <c r="A57" s="20" t="s">
        <v>2134</v>
      </c>
    </row>
    <row r="58" customFormat="false" ht="15" hidden="false" customHeight="false" outlineLevel="0" collapsed="false">
      <c r="A58" s="3" t="s">
        <v>2135</v>
      </c>
      <c r="C58" s="28" t="n">
        <f aca="false">-SUMIFS('Loan Schedule'!$G$11:$G$34,'Loan Schedule'!$C$11:$C$34,2025,'Loan Schedule'!$D$11:$D$34,C$4)</f>
        <v>-0</v>
      </c>
      <c r="D58" s="28" t="n">
        <f aca="false">-SUMIFS('Loan Schedule'!$G$11:$G$34,'Loan Schedule'!$C$11:$C$34,2025,'Loan Schedule'!$D$11:$D$34,D$4)</f>
        <v>-0</v>
      </c>
      <c r="E58" s="28" t="n">
        <f aca="false">-SUMIFS('Loan Schedule'!$G$11:$G$34,'Loan Schedule'!$C$11:$C$34,2025,'Loan Schedule'!$D$11:$D$34,E$4)</f>
        <v>-0</v>
      </c>
      <c r="F58" s="28" t="n">
        <f aca="false">-SUMIFS('Loan Schedule'!$G$11:$G$34,'Loan Schedule'!$C$11:$C$34,2025,'Loan Schedule'!$D$11:$D$34,F$4)</f>
        <v>-400000</v>
      </c>
      <c r="G58" s="28" t="n">
        <f aca="false">-SUMIFS('Loan Schedule'!$G$11:$G$34,'Loan Schedule'!$C$11:$C$34,2025,'Loan Schedule'!$D$11:$D$34,G$4)</f>
        <v>-386851.56</v>
      </c>
      <c r="H58" s="28" t="n">
        <f aca="false">-SUMIFS('Loan Schedule'!$G$11:$G$34,'Loan Schedule'!$C$11:$C$34,2025,'Loan Schedule'!$D$11:$D$34,H$4)</f>
        <v>-373440.15</v>
      </c>
      <c r="I58" s="28" t="n">
        <f aca="false">-SUMIFS('Loan Schedule'!$G$11:$G$34,'Loan Schedule'!$C$11:$C$34,2025,'Loan Schedule'!$D$11:$D$34,I$4)</f>
        <v>-359760.52</v>
      </c>
      <c r="J58" s="28" t="n">
        <f aca="false">-SUMIFS('Loan Schedule'!$G$11:$G$34,'Loan Schedule'!$C$11:$C$34,2025,'Loan Schedule'!$D$11:$D$34,J$4)</f>
        <v>-345807.29</v>
      </c>
      <c r="K58" s="28" t="n">
        <f aca="false">-SUMIFS('Loan Schedule'!$G$11:$G$34,'Loan Schedule'!$C$11:$C$34,2025,'Loan Schedule'!$D$11:$D$34,K$4)</f>
        <v>-331575</v>
      </c>
      <c r="L58" s="28" t="n">
        <f aca="false">-SUMIFS('Loan Schedule'!$G$11:$G$34,'Loan Schedule'!$C$11:$C$34,2025,'Loan Schedule'!$D$11:$D$34,L$4)</f>
        <v>-317058.06</v>
      </c>
      <c r="M58" s="28" t="n">
        <f aca="false">-SUMIFS('Loan Schedule'!$G$11:$G$34,'Loan Schedule'!$C$11:$C$34,2025,'Loan Schedule'!$D$11:$D$34,M$4)</f>
        <v>-302250.78</v>
      </c>
      <c r="N58" s="28" t="n">
        <f aca="false">-SUMIFS('Loan Schedule'!$G$11:$G$34,'Loan Schedule'!$C$11:$C$34,2025,'Loan Schedule'!$D$11:$D$34,N$4)</f>
        <v>-287147.36</v>
      </c>
      <c r="O58" s="29" t="n">
        <f aca="false">SUM(C58:N58)</f>
        <v>-3103890.72</v>
      </c>
    </row>
    <row r="59" customFormat="false" ht="15" hidden="false" customHeight="false" outlineLevel="0" collapsed="false">
      <c r="A59" s="3" t="s">
        <v>2136</v>
      </c>
      <c r="C59" s="28" t="n">
        <f aca="false">-SUMIFS('Loan Schedule'!$H$11:$H$34,'Loan Schedule'!$C$11:$C$34,2025,'Loan Schedule'!$D$11:$D$34,C$4)</f>
        <v>-0</v>
      </c>
      <c r="D59" s="28" t="n">
        <f aca="false">-SUMIFS('Loan Schedule'!$H$11:$H$34,'Loan Schedule'!$C$11:$C$34,2025,'Loan Schedule'!$D$11:$D$34,D$4)</f>
        <v>-0</v>
      </c>
      <c r="E59" s="28" t="n">
        <f aca="false">-SUMIFS('Loan Schedule'!$H$11:$H$34,'Loan Schedule'!$C$11:$C$34,2025,'Loan Schedule'!$D$11:$D$34,E$4)</f>
        <v>-0</v>
      </c>
      <c r="F59" s="28" t="n">
        <f aca="false">-SUMIFS('Loan Schedule'!$H$11:$H$34,'Loan Schedule'!$C$11:$C$34,2025,'Loan Schedule'!$D$11:$D$34,F$4)</f>
        <v>-657421.95</v>
      </c>
      <c r="G59" s="28" t="n">
        <f aca="false">-SUMIFS('Loan Schedule'!$H$11:$H$34,'Loan Schedule'!$C$11:$C$34,2025,'Loan Schedule'!$D$11:$D$34,G$4)</f>
        <v>-670570.39</v>
      </c>
      <c r="H59" s="28" t="n">
        <f aca="false">-SUMIFS('Loan Schedule'!$H$11:$H$34,'Loan Schedule'!$C$11:$C$34,2025,'Loan Schedule'!$D$11:$D$34,H$4)</f>
        <v>-683981.8</v>
      </c>
      <c r="I59" s="28" t="n">
        <f aca="false">-SUMIFS('Loan Schedule'!$H$11:$H$34,'Loan Schedule'!$C$11:$C$34,2025,'Loan Schedule'!$D$11:$D$34,I$4)</f>
        <v>-697661.43</v>
      </c>
      <c r="J59" s="28" t="n">
        <f aca="false">-SUMIFS('Loan Schedule'!$H$11:$H$34,'Loan Schedule'!$C$11:$C$34,2025,'Loan Schedule'!$D$11:$D$34,J$4)</f>
        <v>-711614.66</v>
      </c>
      <c r="K59" s="28" t="n">
        <f aca="false">-SUMIFS('Loan Schedule'!$H$11:$H$34,'Loan Schedule'!$C$11:$C$34,2025,'Loan Schedule'!$D$11:$D$34,K$4)</f>
        <v>-725846.95</v>
      </c>
      <c r="L59" s="28" t="n">
        <f aca="false">-SUMIFS('Loan Schedule'!$H$11:$H$34,'Loan Schedule'!$C$11:$C$34,2025,'Loan Schedule'!$D$11:$D$34,L$4)</f>
        <v>-740363.89</v>
      </c>
      <c r="M59" s="28" t="n">
        <f aca="false">-SUMIFS('Loan Schedule'!$H$11:$H$34,'Loan Schedule'!$C$11:$C$34,2025,'Loan Schedule'!$D$11:$D$34,M$4)</f>
        <v>-755171.17</v>
      </c>
      <c r="N59" s="28" t="n">
        <f aca="false">-SUMIFS('Loan Schedule'!$H$11:$H$34,'Loan Schedule'!$C$11:$C$34,2025,'Loan Schedule'!$D$11:$D$34,N$4)</f>
        <v>-770274.59</v>
      </c>
      <c r="O59" s="29" t="n">
        <f aca="false">SUM(C59:N59)</f>
        <v>-6412906.83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2026-10-20T15:44:22Z</dcterms:created>
  <dc:creator>openpyxl</dc:creator>
  <dc:description/>
  <dc:language>en-US</dc:language>
  <cp:lastModifiedBy/>
  <dcterms:modified xsi:type="dcterms:W3CDTF">2026-10-20T15:44:22Z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